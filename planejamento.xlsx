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0" documentId="13_ncr:1_{C7B8E605-53F7-40C5-AD40-FF7928846F0B}" xr6:coauthVersionLast="47" xr6:coauthVersionMax="47" xr10:uidLastSave="{00000000-0000-0000-0000-000000000000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J100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4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5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5" i="1"/>
  <c r="BB250" i="1"/>
  <c r="Y250" i="1" s="1"/>
  <c r="BC250" i="1"/>
  <c r="Z250" i="1" s="1"/>
  <c r="BD250" i="1"/>
  <c r="AA250" i="1" s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E250" i="1"/>
  <c r="AB250" i="1" s="1"/>
  <c r="AC6" i="1"/>
  <c r="BF6" i="1" s="1"/>
  <c r="AC7" i="1"/>
  <c r="BF7" i="1" s="1"/>
  <c r="AC8" i="1"/>
  <c r="BF8" i="1" s="1"/>
  <c r="AC9" i="1"/>
  <c r="BF9" i="1" s="1"/>
  <c r="AC10" i="1"/>
  <c r="BF10" i="1" s="1"/>
  <c r="AC11" i="1"/>
  <c r="BF11" i="1" s="1"/>
  <c r="AC12" i="1"/>
  <c r="BF12" i="1" s="1"/>
  <c r="AC13" i="1"/>
  <c r="BF13" i="1" s="1"/>
  <c r="AC14" i="1"/>
  <c r="BF14" i="1" s="1"/>
  <c r="AC15" i="1"/>
  <c r="BF15" i="1" s="1"/>
  <c r="AC16" i="1"/>
  <c r="BF16" i="1" s="1"/>
  <c r="AC17" i="1"/>
  <c r="BF17" i="1" s="1"/>
  <c r="AC18" i="1"/>
  <c r="BF18" i="1" s="1"/>
  <c r="AC19" i="1"/>
  <c r="BF19" i="1" s="1"/>
  <c r="AC20" i="1"/>
  <c r="BF20" i="1" s="1"/>
  <c r="AC21" i="1"/>
  <c r="BF21" i="1" s="1"/>
  <c r="AC22" i="1"/>
  <c r="BF22" i="1" s="1"/>
  <c r="AC23" i="1"/>
  <c r="BF23" i="1" s="1"/>
  <c r="AC25" i="1"/>
  <c r="BF25" i="1" s="1"/>
  <c r="AC27" i="1"/>
  <c r="BF27" i="1" s="1"/>
  <c r="AC28" i="1"/>
  <c r="BF28" i="1" s="1"/>
  <c r="AC29" i="1"/>
  <c r="BF29" i="1" s="1"/>
  <c r="AC30" i="1"/>
  <c r="BF30" i="1" s="1"/>
  <c r="AC31" i="1"/>
  <c r="BF31" i="1" s="1"/>
  <c r="AC32" i="1"/>
  <c r="BF32" i="1" s="1"/>
  <c r="AC33" i="1"/>
  <c r="BF33" i="1" s="1"/>
  <c r="AC34" i="1"/>
  <c r="BF34" i="1" s="1"/>
  <c r="AC35" i="1"/>
  <c r="BF35" i="1" s="1"/>
  <c r="AC36" i="1"/>
  <c r="BF36" i="1" s="1"/>
  <c r="AC37" i="1"/>
  <c r="BF37" i="1" s="1"/>
  <c r="AC38" i="1"/>
  <c r="BF38" i="1" s="1"/>
  <c r="AC39" i="1"/>
  <c r="BF39" i="1" s="1"/>
  <c r="AC40" i="1"/>
  <c r="BF40" i="1" s="1"/>
  <c r="AC41" i="1"/>
  <c r="BF41" i="1" s="1"/>
  <c r="AC42" i="1"/>
  <c r="BF42" i="1" s="1"/>
  <c r="AC43" i="1"/>
  <c r="BF43" i="1" s="1"/>
  <c r="AC44" i="1"/>
  <c r="BF44" i="1" s="1"/>
  <c r="AC45" i="1"/>
  <c r="BF45" i="1" s="1"/>
  <c r="AC46" i="1"/>
  <c r="BF46" i="1" s="1"/>
  <c r="AC47" i="1"/>
  <c r="BF47" i="1" s="1"/>
  <c r="AC48" i="1"/>
  <c r="BF48" i="1" s="1"/>
  <c r="AC49" i="1"/>
  <c r="BF49" i="1" s="1"/>
  <c r="AC50" i="1"/>
  <c r="BF50" i="1" s="1"/>
  <c r="AC51" i="1"/>
  <c r="BF51" i="1" s="1"/>
  <c r="AC52" i="1"/>
  <c r="BF52" i="1" s="1"/>
  <c r="AC53" i="1"/>
  <c r="BF53" i="1" s="1"/>
  <c r="AC54" i="1"/>
  <c r="BF54" i="1" s="1"/>
  <c r="AC55" i="1"/>
  <c r="BF55" i="1" s="1"/>
  <c r="AC56" i="1"/>
  <c r="BF56" i="1" s="1"/>
  <c r="AC57" i="1"/>
  <c r="BF57" i="1" s="1"/>
  <c r="AC58" i="1"/>
  <c r="BF58" i="1" s="1"/>
  <c r="AC59" i="1"/>
  <c r="BF59" i="1" s="1"/>
  <c r="AC60" i="1"/>
  <c r="BF60" i="1" s="1"/>
  <c r="AC61" i="1"/>
  <c r="BF61" i="1" s="1"/>
  <c r="AC62" i="1"/>
  <c r="BF62" i="1" s="1"/>
  <c r="AC63" i="1"/>
  <c r="BF63" i="1" s="1"/>
  <c r="AC64" i="1"/>
  <c r="BF64" i="1" s="1"/>
  <c r="AC65" i="1"/>
  <c r="BF65" i="1" s="1"/>
  <c r="AC66" i="1"/>
  <c r="BF66" i="1" s="1"/>
  <c r="AC67" i="1"/>
  <c r="BF67" i="1" s="1"/>
  <c r="AC68" i="1"/>
  <c r="BF68" i="1" s="1"/>
  <c r="AC69" i="1"/>
  <c r="BF69" i="1" s="1"/>
  <c r="AC70" i="1"/>
  <c r="BF70" i="1" s="1"/>
  <c r="AC72" i="1"/>
  <c r="BF72" i="1" s="1"/>
  <c r="AC73" i="1"/>
  <c r="BF73" i="1" s="1"/>
  <c r="AC76" i="1"/>
  <c r="BF76" i="1" s="1"/>
  <c r="AC77" i="1"/>
  <c r="BF77" i="1" s="1"/>
  <c r="AC80" i="1"/>
  <c r="BF80" i="1" s="1"/>
  <c r="AC81" i="1"/>
  <c r="BF81" i="1" s="1"/>
  <c r="AC82" i="1"/>
  <c r="BF82" i="1" s="1"/>
  <c r="AC83" i="1"/>
  <c r="BF83" i="1" s="1"/>
  <c r="AC84" i="1"/>
  <c r="BF84" i="1" s="1"/>
  <c r="AC85" i="1"/>
  <c r="BF85" i="1" s="1"/>
  <c r="AC86" i="1"/>
  <c r="BF86" i="1" s="1"/>
  <c r="AC87" i="1"/>
  <c r="BF87" i="1" s="1"/>
  <c r="AC88" i="1"/>
  <c r="BF88" i="1" s="1"/>
  <c r="AC89" i="1"/>
  <c r="BF89" i="1" s="1"/>
  <c r="AC90" i="1"/>
  <c r="BF90" i="1" s="1"/>
  <c r="AC91" i="1"/>
  <c r="BF91" i="1" s="1"/>
  <c r="AC92" i="1"/>
  <c r="BF92" i="1" s="1"/>
  <c r="AC93" i="1"/>
  <c r="BF93" i="1" s="1"/>
  <c r="AC94" i="1"/>
  <c r="BF94" i="1" s="1"/>
  <c r="AC95" i="1"/>
  <c r="BF95" i="1" s="1"/>
  <c r="AC96" i="1"/>
  <c r="BF96" i="1" s="1"/>
  <c r="AC97" i="1"/>
  <c r="BF97" i="1" s="1"/>
  <c r="AC98" i="1"/>
  <c r="BF98" i="1" s="1"/>
  <c r="AC99" i="1"/>
  <c r="BF99" i="1" s="1"/>
  <c r="AC100" i="1"/>
  <c r="BF100" i="1" s="1"/>
  <c r="AC101" i="1"/>
  <c r="BF101" i="1" s="1"/>
  <c r="AC102" i="1"/>
  <c r="BF102" i="1" s="1"/>
  <c r="AC103" i="1"/>
  <c r="BF103" i="1" s="1"/>
  <c r="AC104" i="1"/>
  <c r="BF104" i="1" s="1"/>
  <c r="AC105" i="1"/>
  <c r="BF105" i="1" s="1"/>
  <c r="AC106" i="1"/>
  <c r="BF106" i="1" s="1"/>
  <c r="AC107" i="1"/>
  <c r="BF107" i="1" s="1"/>
  <c r="AC108" i="1"/>
  <c r="BF108" i="1" s="1"/>
  <c r="AC109" i="1"/>
  <c r="BF109" i="1" s="1"/>
  <c r="AC110" i="1"/>
  <c r="BF110" i="1" s="1"/>
  <c r="AC111" i="1"/>
  <c r="BF111" i="1" s="1"/>
  <c r="AC112" i="1"/>
  <c r="BF112" i="1" s="1"/>
  <c r="AC113" i="1"/>
  <c r="BF113" i="1" s="1"/>
  <c r="AC114" i="1"/>
  <c r="BF114" i="1" s="1"/>
  <c r="AC115" i="1"/>
  <c r="BF115" i="1" s="1"/>
  <c r="AC116" i="1"/>
  <c r="BF116" i="1" s="1"/>
  <c r="AC117" i="1"/>
  <c r="BF117" i="1" s="1"/>
  <c r="AC118" i="1"/>
  <c r="BF118" i="1" s="1"/>
  <c r="AC119" i="1"/>
  <c r="BF119" i="1" s="1"/>
  <c r="AC120" i="1"/>
  <c r="BF120" i="1" s="1"/>
  <c r="AC121" i="1"/>
  <c r="BF121" i="1" s="1"/>
  <c r="AC124" i="1"/>
  <c r="BF124" i="1" s="1"/>
  <c r="AC125" i="1"/>
  <c r="BF125" i="1" s="1"/>
  <c r="AC126" i="1"/>
  <c r="BF126" i="1" s="1"/>
  <c r="AC129" i="1"/>
  <c r="BF129" i="1" s="1"/>
  <c r="AC130" i="1"/>
  <c r="BF130" i="1" s="1"/>
  <c r="AC131" i="1"/>
  <c r="BF131" i="1" s="1"/>
  <c r="AC133" i="1"/>
  <c r="BF133" i="1" s="1"/>
  <c r="AC134" i="1"/>
  <c r="BF134" i="1" s="1"/>
  <c r="AC135" i="1"/>
  <c r="BF135" i="1" s="1"/>
  <c r="AC136" i="1"/>
  <c r="BF136" i="1" s="1"/>
  <c r="AC137" i="1"/>
  <c r="BF137" i="1" s="1"/>
  <c r="AC138" i="1"/>
  <c r="BF138" i="1" s="1"/>
  <c r="AC139" i="1"/>
  <c r="BF139" i="1" s="1"/>
  <c r="AC140" i="1"/>
  <c r="BF140" i="1" s="1"/>
  <c r="AC141" i="1"/>
  <c r="BF141" i="1" s="1"/>
  <c r="AC142" i="1"/>
  <c r="BF142" i="1" s="1"/>
  <c r="AC143" i="1"/>
  <c r="BF143" i="1" s="1"/>
  <c r="AC144" i="1"/>
  <c r="BF144" i="1" s="1"/>
  <c r="AC145" i="1"/>
  <c r="BF145" i="1" s="1"/>
  <c r="AC146" i="1"/>
  <c r="BF146" i="1" s="1"/>
  <c r="AC147" i="1"/>
  <c r="BF147" i="1" s="1"/>
  <c r="AC148" i="1"/>
  <c r="BF148" i="1" s="1"/>
  <c r="AC149" i="1"/>
  <c r="BF149" i="1" s="1"/>
  <c r="AC150" i="1"/>
  <c r="BF150" i="1" s="1"/>
  <c r="AC151" i="1"/>
  <c r="BF151" i="1" s="1"/>
  <c r="AC152" i="1"/>
  <c r="BF152" i="1" s="1"/>
  <c r="AC153" i="1"/>
  <c r="BF153" i="1" s="1"/>
  <c r="AC154" i="1"/>
  <c r="BF154" i="1" s="1"/>
  <c r="AC155" i="1"/>
  <c r="BF155" i="1" s="1"/>
  <c r="AC156" i="1"/>
  <c r="BF156" i="1" s="1"/>
  <c r="AC157" i="1"/>
  <c r="BF157" i="1" s="1"/>
  <c r="AC158" i="1"/>
  <c r="BF158" i="1" s="1"/>
  <c r="AC159" i="1"/>
  <c r="BF159" i="1" s="1"/>
  <c r="AC160" i="1"/>
  <c r="BF160" i="1" s="1"/>
  <c r="AC161" i="1"/>
  <c r="BF161" i="1" s="1"/>
  <c r="AC162" i="1"/>
  <c r="BF162" i="1" s="1"/>
  <c r="AC163" i="1"/>
  <c r="BF163" i="1" s="1"/>
  <c r="AC164" i="1"/>
  <c r="BF164" i="1" s="1"/>
  <c r="AC165" i="1"/>
  <c r="BF165" i="1" s="1"/>
  <c r="AC166" i="1"/>
  <c r="BF166" i="1" s="1"/>
  <c r="AC167" i="1"/>
  <c r="BF167" i="1" s="1"/>
  <c r="AC168" i="1"/>
  <c r="BF168" i="1" s="1"/>
  <c r="AC169" i="1"/>
  <c r="BF169" i="1" s="1"/>
  <c r="AC170" i="1"/>
  <c r="BF170" i="1" s="1"/>
  <c r="AC171" i="1"/>
  <c r="BF171" i="1" s="1"/>
  <c r="AC172" i="1"/>
  <c r="BF172" i="1" s="1"/>
  <c r="AC173" i="1"/>
  <c r="BF173" i="1" s="1"/>
  <c r="AC174" i="1"/>
  <c r="BF174" i="1" s="1"/>
  <c r="AC175" i="1"/>
  <c r="BF175" i="1" s="1"/>
  <c r="AC176" i="1"/>
  <c r="BF176" i="1" s="1"/>
  <c r="AC177" i="1"/>
  <c r="BF177" i="1" s="1"/>
  <c r="AC178" i="1"/>
  <c r="BF178" i="1" s="1"/>
  <c r="AC179" i="1"/>
  <c r="BF179" i="1" s="1"/>
  <c r="AC180" i="1"/>
  <c r="BF180" i="1" s="1"/>
  <c r="AC181" i="1"/>
  <c r="BF181" i="1" s="1"/>
  <c r="AC182" i="1"/>
  <c r="BF182" i="1" s="1"/>
  <c r="AC183" i="1"/>
  <c r="BF183" i="1" s="1"/>
  <c r="AC184" i="1"/>
  <c r="BF184" i="1" s="1"/>
  <c r="AC185" i="1"/>
  <c r="BF185" i="1" s="1"/>
  <c r="AC186" i="1"/>
  <c r="BF186" i="1" s="1"/>
  <c r="AC187" i="1"/>
  <c r="BF187" i="1" s="1"/>
  <c r="AC188" i="1"/>
  <c r="BF188" i="1" s="1"/>
  <c r="AC189" i="1"/>
  <c r="BF189" i="1" s="1"/>
  <c r="AC190" i="1"/>
  <c r="BF190" i="1" s="1"/>
  <c r="AC191" i="1"/>
  <c r="BF191" i="1" s="1"/>
  <c r="AC192" i="1"/>
  <c r="BF192" i="1" s="1"/>
  <c r="AC193" i="1"/>
  <c r="BF193" i="1" s="1"/>
  <c r="AC194" i="1"/>
  <c r="BF194" i="1" s="1"/>
  <c r="AC195" i="1"/>
  <c r="BF195" i="1" s="1"/>
  <c r="AC196" i="1"/>
  <c r="BF196" i="1" s="1"/>
  <c r="AC197" i="1"/>
  <c r="BF197" i="1" s="1"/>
  <c r="AC198" i="1"/>
  <c r="BF198" i="1" s="1"/>
  <c r="AC199" i="1"/>
  <c r="BF199" i="1" s="1"/>
  <c r="AC200" i="1"/>
  <c r="BF200" i="1" s="1"/>
  <c r="AC201" i="1"/>
  <c r="BF201" i="1" s="1"/>
  <c r="AC202" i="1"/>
  <c r="BF202" i="1" s="1"/>
  <c r="AC203" i="1"/>
  <c r="BF203" i="1" s="1"/>
  <c r="AC204" i="1"/>
  <c r="BF204" i="1" s="1"/>
  <c r="AC205" i="1"/>
  <c r="BF205" i="1" s="1"/>
  <c r="AC206" i="1"/>
  <c r="BF206" i="1" s="1"/>
  <c r="AC207" i="1"/>
  <c r="BF207" i="1" s="1"/>
  <c r="AC208" i="1"/>
  <c r="BF208" i="1" s="1"/>
  <c r="AC209" i="1"/>
  <c r="BF209" i="1" s="1"/>
  <c r="AC210" i="1"/>
  <c r="BF210" i="1" s="1"/>
  <c r="AC211" i="1"/>
  <c r="BF211" i="1" s="1"/>
  <c r="AC212" i="1"/>
  <c r="BF212" i="1" s="1"/>
  <c r="AC213" i="1"/>
  <c r="BF213" i="1" s="1"/>
  <c r="AC214" i="1"/>
  <c r="BF214" i="1" s="1"/>
  <c r="AC215" i="1"/>
  <c r="BF215" i="1" s="1"/>
  <c r="AC216" i="1"/>
  <c r="BF216" i="1" s="1"/>
  <c r="AC217" i="1"/>
  <c r="BF217" i="1" s="1"/>
  <c r="AC218" i="1"/>
  <c r="BF218" i="1" s="1"/>
  <c r="AC219" i="1"/>
  <c r="BF219" i="1" s="1"/>
  <c r="AC220" i="1"/>
  <c r="BF220" i="1" s="1"/>
  <c r="AC221" i="1"/>
  <c r="BF221" i="1" s="1"/>
  <c r="AC222" i="1"/>
  <c r="BF222" i="1" s="1"/>
  <c r="AC223" i="1"/>
  <c r="BF223" i="1" s="1"/>
  <c r="AC224" i="1"/>
  <c r="BF224" i="1" s="1"/>
  <c r="AC225" i="1"/>
  <c r="BF225" i="1" s="1"/>
  <c r="AC226" i="1"/>
  <c r="BF226" i="1" s="1"/>
  <c r="AC227" i="1"/>
  <c r="BF227" i="1" s="1"/>
  <c r="AC228" i="1"/>
  <c r="BF228" i="1" s="1"/>
  <c r="AC229" i="1"/>
  <c r="BF229" i="1" s="1"/>
  <c r="AC230" i="1"/>
  <c r="BF230" i="1" s="1"/>
  <c r="AC231" i="1"/>
  <c r="BF231" i="1" s="1"/>
  <c r="AC232" i="1"/>
  <c r="BF232" i="1" s="1"/>
  <c r="AC233" i="1"/>
  <c r="BF233" i="1" s="1"/>
  <c r="AC234" i="1"/>
  <c r="BF234" i="1" s="1"/>
  <c r="AC235" i="1"/>
  <c r="BF235" i="1" s="1"/>
  <c r="AC236" i="1"/>
  <c r="BF236" i="1" s="1"/>
  <c r="AC237" i="1"/>
  <c r="BF237" i="1" s="1"/>
  <c r="AC238" i="1"/>
  <c r="BF238" i="1" s="1"/>
  <c r="AC239" i="1"/>
  <c r="BF239" i="1" s="1"/>
  <c r="AC240" i="1"/>
  <c r="BF240" i="1" s="1"/>
  <c r="AC241" i="1"/>
  <c r="BF241" i="1" s="1"/>
  <c r="AC242" i="1"/>
  <c r="BF242" i="1" s="1"/>
  <c r="AC243" i="1"/>
  <c r="BF243" i="1" s="1"/>
  <c r="AC244" i="1"/>
  <c r="BF244" i="1" s="1"/>
  <c r="AC245" i="1"/>
  <c r="BF245" i="1" s="1"/>
  <c r="AC246" i="1"/>
  <c r="BF246" i="1" s="1"/>
  <c r="AC247" i="1"/>
  <c r="BF247" i="1" s="1"/>
  <c r="AC248" i="1"/>
  <c r="BF248" i="1" s="1"/>
  <c r="AC249" i="1"/>
  <c r="BF249" i="1" s="1"/>
  <c r="AC24" i="1"/>
  <c r="BF24" i="1" s="1"/>
  <c r="AC26" i="1"/>
  <c r="BF26" i="1" s="1"/>
  <c r="AC71" i="1"/>
  <c r="BF71" i="1" s="1"/>
  <c r="AC74" i="1"/>
  <c r="BF74" i="1" s="1"/>
  <c r="AC75" i="1"/>
  <c r="BF75" i="1" s="1"/>
  <c r="AC78" i="1"/>
  <c r="BF78" i="1" s="1"/>
  <c r="AC79" i="1"/>
  <c r="BF79" i="1" s="1"/>
  <c r="AC122" i="1"/>
  <c r="BF122" i="1" s="1"/>
  <c r="AC123" i="1"/>
  <c r="BF123" i="1" s="1"/>
  <c r="AC127" i="1"/>
  <c r="BF127" i="1" s="1"/>
  <c r="AC128" i="1"/>
  <c r="BF128" i="1" s="1"/>
  <c r="AC132" i="1"/>
  <c r="BF132" i="1" s="1"/>
  <c r="AC5" i="1"/>
  <c r="BF250" i="1" s="1"/>
  <c r="AC250" i="1" s="1"/>
  <c r="AY250" i="1"/>
  <c r="V250" i="1" s="1"/>
  <c r="AF250" i="1"/>
  <c r="C250" i="1" s="1"/>
  <c r="AG250" i="1"/>
  <c r="D250" i="1" s="1"/>
  <c r="AI250" i="1"/>
  <c r="F250" i="1" s="1"/>
  <c r="AK250" i="1"/>
  <c r="H250" i="1" s="1"/>
  <c r="AL250" i="1"/>
  <c r="I250" i="1" s="1"/>
  <c r="AM250" i="1"/>
  <c r="J250" i="1" s="1"/>
  <c r="AN250" i="1"/>
  <c r="K250" i="1" s="1"/>
  <c r="AO250" i="1"/>
  <c r="L250" i="1" s="1"/>
  <c r="AP250" i="1"/>
  <c r="M250" i="1" s="1"/>
  <c r="AQ250" i="1"/>
  <c r="N250" i="1" s="1"/>
  <c r="AR250" i="1"/>
  <c r="O250" i="1" s="1"/>
  <c r="AS250" i="1"/>
  <c r="P250" i="1" s="1"/>
  <c r="AT250" i="1"/>
  <c r="Q250" i="1" s="1"/>
  <c r="AU250" i="1"/>
  <c r="R250" i="1" s="1"/>
  <c r="AV250" i="1"/>
  <c r="S250" i="1" s="1"/>
  <c r="AW250" i="1"/>
  <c r="T250" i="1" s="1"/>
  <c r="AX250" i="1"/>
  <c r="U250" i="1" s="1"/>
  <c r="AZ250" i="1"/>
  <c r="W250" i="1" s="1"/>
  <c r="BA250" i="1"/>
  <c r="X250" i="1" s="1"/>
  <c r="AE5" i="1"/>
  <c r="AE250" i="1" s="1"/>
  <c r="AJ250" i="1" l="1"/>
  <c r="G250" i="1" s="1"/>
  <c r="AH250" i="1"/>
  <c r="E250" i="1" s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  <c r="B250" i="1"/>
</calcChain>
</file>

<file path=xl/sharedStrings.xml><?xml version="1.0" encoding="utf-8"?>
<sst xmlns="http://schemas.openxmlformats.org/spreadsheetml/2006/main" count="341" uniqueCount="332">
  <si>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</si>
  <si>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</si>
  <si>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</si>
  <si>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</si>
  <si>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</si>
  <si>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</si>
  <si>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</si>
  <si>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</si>
  <si>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</si>
  <si>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</si>
  <si>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</si>
  <si>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</si>
  <si>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</si>
  <si>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</si>
  <si>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</si>
  <si>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</si>
  <si>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</si>
  <si>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</si>
  <si>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</si>
  <si>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</si>
  <si>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</si>
  <si>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</si>
  <si>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</si>
  <si>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</si>
  <si>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</si>
  <si>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</si>
  <si>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</si>
  <si>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</si>
  <si>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</si>
  <si>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</si>
  <si>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</si>
  <si>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</si>
  <si>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</si>
  <si>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</si>
  <si>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</si>
  <si>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</si>
  <si>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</si>
  <si>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</si>
  <si>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</si>
  <si>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</si>
  <si>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</si>
  <si>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</si>
  <si>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</si>
  <si>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</si>
  <si>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</si>
  <si>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</si>
  <si>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</si>
  <si>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</si>
  <si>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IDALBERTO MORO</t>
  </si>
  <si>
    <t>LINDENBERG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</si>
  <si>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</si>
  <si>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</si>
  <si>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</si>
  <si>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</si>
  <si>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</si>
  <si>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</si>
  <si>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</si>
  <si>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</si>
  <si>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</si>
  <si>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</si>
  <si>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</si>
  <si>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</si>
  <si>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</si>
  <si>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</si>
  <si>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160/2025
CHEGADA: 25/03</t>
  </si>
  <si>
    <t>CONTRATO: 157/2025
CHEGADA: 10/04</t>
  </si>
  <si>
    <t>CONTRATO: 126/2025
CHEGADA: 15/04</t>
  </si>
  <si>
    <t>CONTRATO: 171/2025
SAÍDA: xx/03</t>
  </si>
  <si>
    <t>CONTRATO: 165/2025
SAÍDA: xx/03</t>
  </si>
  <si>
    <t>CONTRATO: 173/2025
SAÍDA: 25/03</t>
  </si>
  <si>
    <t>CONTRATO: 164/2025
SAÍDA: 24/03</t>
  </si>
  <si>
    <t>CONTRATO: XXX/2025
SAÍDA: 24/03</t>
  </si>
  <si>
    <t>CONTRATO: XXX/2025
SAÍDA: 27/03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</si>
  <si>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</si>
  <si>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</si>
  <si>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</si>
  <si>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</si>
  <si>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</si>
  <si>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</si>
  <si>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</si>
  <si>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</si>
  <si>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</si>
  <si>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</si>
  <si>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</si>
  <si>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</si>
  <si>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</si>
  <si>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</si>
  <si>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</si>
  <si>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</si>
  <si>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</si>
  <si>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</si>
  <si>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</si>
  <si>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</si>
  <si>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</si>
  <si>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</si>
  <si>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</si>
  <si>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</si>
  <si>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</si>
  <si>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</si>
  <si>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</si>
  <si>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</si>
  <si>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</si>
  <si>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</si>
  <si>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</si>
  <si>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</si>
  <si>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</si>
  <si>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</si>
  <si>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</si>
  <si>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</si>
  <si>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</si>
  <si>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</si>
  <si>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</si>
  <si>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</si>
  <si>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</si>
  <si>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</si>
  <si>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</si>
  <si>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</si>
  <si>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</si>
  <si>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</si>
  <si>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</si>
  <si>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</si>
  <si>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</si>
  <si>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</si>
  <si>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</si>
  <si>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</si>
  <si>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</si>
  <si>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</si>
  <si>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</si>
  <si>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</si>
  <si>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</si>
  <si>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</si>
  <si>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</si>
  <si>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</si>
  <si>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</si>
  <si>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</si>
  <si>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</si>
  <si>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</si>
  <si>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</si>
  <si>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</si>
  <si>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</si>
  <si>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</si>
  <si>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</si>
  <si>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</si>
  <si>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</si>
  <si>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</si>
  <si>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</si>
  <si>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</si>
  <si>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</si>
  <si>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</si>
  <si>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</si>
  <si>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</si>
  <si>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</si>
  <si>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</si>
  <si>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</si>
  <si>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</si>
  <si>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</si>
  <si>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</si>
  <si>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</si>
  <si>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</si>
  <si>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</si>
  <si>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</si>
  <si>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</si>
  <si>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</si>
  <si>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</si>
  <si>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</si>
  <si>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</si>
  <si>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</si>
  <si>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</si>
  <si>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</si>
  <si>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</si>
  <si>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</si>
  <si>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</si>
  <si>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</si>
  <si>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</si>
  <si>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</si>
  <si>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</si>
  <si>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</si>
  <si>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</si>
  <si>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</si>
  <si>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</si>
  <si>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</si>
  <si>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</si>
  <si>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</si>
  <si>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</si>
  <si>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</si>
  <si>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</si>
  <si>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</si>
  <si>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</si>
  <si>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</si>
  <si>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</si>
  <si>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</si>
  <si>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</si>
  <si>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</si>
  <si>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</si>
  <si>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</si>
  <si>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</si>
  <si>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</si>
  <si>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</si>
  <si>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</si>
  <si>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</si>
  <si>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</si>
  <si>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</si>
  <si>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</si>
  <si>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</si>
  <si>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</si>
  <si>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</si>
  <si>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</si>
  <si>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</si>
  <si>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</si>
  <si>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</si>
  <si>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</si>
  <si>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</si>
  <si>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</si>
  <si>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</si>
  <si>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</si>
  <si>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</si>
  <si>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</si>
  <si>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</si>
  <si>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</si>
  <si>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</si>
  <si>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</si>
  <si>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</si>
  <si>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</si>
  <si>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</si>
  <si>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</si>
  <si>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</si>
  <si>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</si>
  <si>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</si>
  <si>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</si>
  <si>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</si>
  <si>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</si>
  <si>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</si>
  <si>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</si>
  <si>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</si>
  <si>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</si>
  <si>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</si>
  <si>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</si>
  <si>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</si>
  <si>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</si>
  <si>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</si>
  <si>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</si>
  <si>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</si>
  <si>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</si>
  <si>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</si>
  <si>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</si>
  <si>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</si>
  <si>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</si>
  <si>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</si>
  <si>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</si>
  <si>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</si>
  <si>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</si>
  <si>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</si>
  <si>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</si>
  <si>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</si>
  <si>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</si>
  <si>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</si>
  <si>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</si>
  <si>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</si>
  <si>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</si>
  <si>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</si>
  <si>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</si>
  <si>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</si>
  <si>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</si>
  <si>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</si>
  <si>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</si>
  <si>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</si>
  <si>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</si>
  <si>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</si>
  <si>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</si>
  <si>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</si>
  <si>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</si>
  <si>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</si>
  <si>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</si>
  <si>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</si>
  <si>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</si>
  <si>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</si>
  <si>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</si>
  <si>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</si>
  <si>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</si>
  <si>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</si>
  <si>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</si>
  <si>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</si>
  <si>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</si>
  <si>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</si>
  <si>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</si>
  <si>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</si>
  <si>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</si>
  <si>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</si>
  <si>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</si>
  <si>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</si>
  <si>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</si>
  <si>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</si>
  <si>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</si>
  <si>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</si>
  <si>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</si>
  <si>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</si>
  <si>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</si>
  <si>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</si>
  <si>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</si>
  <si>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</si>
  <si>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</si>
  <si>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</si>
  <si>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</si>
  <si>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</si>
  <si>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</si>
  <si>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</si>
  <si>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</si>
  <si>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</si>
  <si>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</si>
  <si>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</si>
  <si>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</si>
  <si>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</si>
  <si>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</si>
  <si>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</si>
  <si>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</si>
  <si>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</si>
  <si>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</si>
  <si>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</si>
  <si>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</si>
  <si>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</si>
  <si>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</si>
  <si>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</si>
  <si>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</si>
  <si>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</si>
  <si>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</si>
  <si>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</si>
  <si>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</si>
  <si>
    <t>CONTRATO: 135/2025
SAÍDA: 28/03</t>
  </si>
  <si>
    <t>CONTRATO: 172/2025
SAÍDA: 02/04</t>
  </si>
  <si>
    <t>CONTRATO: 146/2025
CHEGADA: 28/03</t>
  </si>
  <si>
    <t>CONTRATO: 167/2025
CHEGADA: 31/03</t>
  </si>
  <si>
    <t>CONTRATO: 150/2025
CHEGADA: 04/04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</si>
</sst>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 x14ac:knownFonts="1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  <xf numFmtId="0" fontId="3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 readingOrder="1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 x14ac:dyDescent="0.25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 x14ac:dyDescent="0.25">
      <c r="A1" s="76"/>
      <c r="B1" s="77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 x14ac:dyDescent="0.25">
      <c r="A2" s="76"/>
      <c r="B2" s="76"/>
      <c r="C2" s="75" t="s">
        <v>12</v>
      </c>
      <c r="D2" s="75" t="s">
        <v>13</v>
      </c>
      <c r="E2" s="75" t="s">
        <v>14</v>
      </c>
      <c r="F2" s="75" t="s">
        <v>15</v>
      </c>
      <c r="G2" s="75" t="s">
        <v>16</v>
      </c>
      <c r="H2" s="75" t="s">
        <v>17</v>
      </c>
      <c r="I2" s="75" t="s">
        <v>18</v>
      </c>
      <c r="J2" s="75" t="s">
        <v>19</v>
      </c>
      <c r="K2" s="75" t="s">
        <v>20</v>
      </c>
      <c r="L2" s="74" t="s">
        <v>21</v>
      </c>
      <c r="M2" s="74" t="s">
        <v>22</v>
      </c>
      <c r="N2" s="74" t="s">
        <v>23</v>
      </c>
      <c r="O2" s="74" t="s">
        <v>24</v>
      </c>
      <c r="P2" s="74" t="s">
        <v>25</v>
      </c>
      <c r="Q2" s="74" t="s">
        <v>26</v>
      </c>
      <c r="R2" s="74" t="s">
        <v>27</v>
      </c>
      <c r="S2" s="74" t="s">
        <v>28</v>
      </c>
      <c r="T2" s="74" t="s">
        <v>29</v>
      </c>
      <c r="U2" s="74" t="s">
        <v>30</v>
      </c>
    </row>
    <row r="3" spans="1:21" ht="28.5" customHeight="1" x14ac:dyDescent="0.25">
      <c r="A3" s="76"/>
      <c r="B3" s="76"/>
      <c r="C3" s="75"/>
      <c r="D3" s="75"/>
      <c r="E3" s="75"/>
      <c r="F3" s="75"/>
      <c r="G3" s="75"/>
      <c r="H3" s="75"/>
      <c r="I3" s="75"/>
      <c r="J3" s="75"/>
      <c r="K3" s="75"/>
      <c r="L3" s="74"/>
      <c r="M3" s="74"/>
      <c r="N3" s="74"/>
      <c r="O3" s="74"/>
      <c r="P3" s="74"/>
      <c r="Q3" s="74"/>
      <c r="R3" s="74"/>
      <c r="S3" s="74"/>
      <c r="T3" s="74"/>
      <c r="U3" s="74"/>
    </row>
    <row r="4" spans="1:21" ht="52.9" customHeight="1" x14ac:dyDescent="0.25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 x14ac:dyDescent="0.25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 x14ac:dyDescent="0.25">
      <c r="A8" s="11">
        <v>46015</v>
      </c>
      <c r="B8">
        <f>B5+C5</f>
        <v>88658.95</v>
      </c>
    </row>
    <row r="9" spans="1:21" ht="15" customHeight="1" x14ac:dyDescent="0.25">
      <c r="A9" s="11">
        <v>46020</v>
      </c>
      <c r="B9">
        <f>B8-L5</f>
        <v>79117.399999999994</v>
      </c>
    </row>
    <row r="10" spans="1:21" ht="15" customHeight="1" x14ac:dyDescent="0.25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 x14ac:dyDescent="0.25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 x14ac:dyDescent="0.25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 x14ac:dyDescent="0.25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 x14ac:dyDescent="0.25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 x14ac:dyDescent="0.25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 x14ac:dyDescent="0.25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 x14ac:dyDescent="0.25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 x14ac:dyDescent="0.25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 x14ac:dyDescent="0.25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A1:A3"/>
    <mergeCell ref="B1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U2:U3"/>
    <mergeCell ref="P2:P3"/>
    <mergeCell ref="Q2:Q3"/>
    <mergeCell ref="R2:R3"/>
    <mergeCell ref="S2:S3"/>
    <mergeCell ref="T2:T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251"/>
  <sheetViews>
    <sheetView tabSelected="1" zoomScale="85" zoomScaleNormal="85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H3" sqref="H3:H4"/>
    </sheetView>
  </sheetViews>
  <sheetFormatPr defaultColWidth="9.140625" defaultRowHeight="15" customHeight="1" x14ac:dyDescent="0.2"/>
  <cols>
    <col min="1" max="1" width="41.7109375" style="14" bestFit="1" customWidth="1"/>
    <col min="2" max="2" width="13.7109375" style="14" customWidth="1"/>
    <col min="3" max="3" width="12.140625" style="14" customWidth="1"/>
    <col min="4" max="5" width="14.85546875" style="14" customWidth="1"/>
    <col min="6" max="9" width="12.140625" style="14" customWidth="1"/>
    <col min="10" max="10" width="13.42578125" style="14" customWidth="1"/>
    <col min="11" max="11" width="6.140625" style="14" customWidth="1"/>
    <col min="12" max="19" width="13.85546875" style="14" customWidth="1"/>
    <col min="20" max="23" width="16.5703125" style="14" customWidth="1"/>
    <col min="24" max="27" width="17" style="14" customWidth="1"/>
    <col min="28" max="28" width="14.85546875" style="14" customWidth="1"/>
    <col min="29" max="29" width="16" style="14" customWidth="1"/>
    <col min="30" max="30" width="14.85546875" style="14" customWidth="1"/>
    <col min="31" max="31" width="9.28515625" style="14" customWidth="1"/>
    <col min="32" max="33" width="6.140625" style="14" customWidth="1"/>
    <col min="34" max="34" width="8.140625" style="14" customWidth="1"/>
    <col min="35" max="35" width="6.140625" style="14" customWidth="1"/>
    <col min="36" max="36" width="9.28515625" style="14" customWidth="1"/>
    <col min="37" max="37" width="11.5703125" style="14" customWidth="1"/>
    <col min="38" max="40" width="8.140625" style="14" customWidth="1"/>
    <col min="41" max="41" width="7.140625" style="14" customWidth="1"/>
    <col min="42" max="44" width="9.28515625" style="14" customWidth="1"/>
    <col min="45" max="55" width="9.140625" style="14" customWidth="1"/>
    <col min="56" max="16384" width="9.140625" style="14"/>
  </cols>
  <sheetData>
    <row r="1" spans="1:58" ht="15" customHeight="1" x14ac:dyDescent="0.25">
      <c r="C1" s="47" t="s">
        <v>35</v>
      </c>
      <c r="D1" s="47"/>
      <c r="E1" s="47"/>
      <c r="F1" s="47"/>
      <c r="G1" s="47"/>
      <c r="H1" s="47"/>
      <c r="I1" s="47"/>
      <c r="L1" s="48" t="s">
        <v>36</v>
      </c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</row>
    <row r="2" spans="1:58" ht="29.25" customHeight="1" x14ac:dyDescent="0.2">
      <c r="A2" s="54" t="s">
        <v>37</v>
      </c>
      <c r="B2" s="54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4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48</v>
      </c>
      <c r="Q2" s="30" t="s">
        <v>49</v>
      </c>
      <c r="R2" s="29" t="s">
        <v>50</v>
      </c>
      <c r="S2" s="41" t="s">
        <v>51</v>
      </c>
      <c r="T2" s="31" t="s">
        <v>52</v>
      </c>
      <c r="U2" s="29" t="s">
        <v>53</v>
      </c>
      <c r="V2" s="29" t="s">
        <v>54</v>
      </c>
      <c r="W2" s="29" t="s">
        <v>55</v>
      </c>
      <c r="X2" s="42" t="s">
        <v>56</v>
      </c>
      <c r="Y2" s="29" t="s">
        <v>57</v>
      </c>
      <c r="Z2" s="32" t="s">
        <v>58</v>
      </c>
      <c r="AA2" s="32" t="s">
        <v>59</v>
      </c>
      <c r="AB2" s="59" t="s">
        <v>60</v>
      </c>
      <c r="AC2" s="51" t="s">
        <v>61</v>
      </c>
      <c r="AD2" s="49" t="s">
        <v>62</v>
      </c>
      <c r="AN2" s="15"/>
      <c r="AO2" s="16"/>
      <c r="AP2" s="15"/>
    </row>
    <row r="3" spans="1:58" s="18" customFormat="1" ht="27" customHeight="1" x14ac:dyDescent="0.2">
      <c r="A3" s="54"/>
      <c r="B3" s="54"/>
      <c r="C3" s="68" t="s">
        <v>63</v>
      </c>
      <c r="D3" s="70" t="s">
        <v>331</v>
      </c>
      <c r="E3" s="72" t="s">
        <v>64</v>
      </c>
      <c r="F3" s="68" t="s">
        <v>329</v>
      </c>
      <c r="G3" s="72" t="s">
        <v>330</v>
      </c>
      <c r="H3" s="72" t="s">
        <v>65</v>
      </c>
      <c r="I3" s="68" t="s">
        <v>66</v>
      </c>
      <c r="J3" s="54"/>
      <c r="K3" s="17"/>
      <c r="L3" s="55" t="s">
        <v>327</v>
      </c>
      <c r="M3" s="62" t="s">
        <v>328</v>
      </c>
      <c r="N3" s="66" t="s">
        <v>67</v>
      </c>
      <c r="O3" s="66" t="s">
        <v>68</v>
      </c>
      <c r="P3" s="62" t="s">
        <v>69</v>
      </c>
      <c r="Q3" s="62" t="s">
        <v>70</v>
      </c>
      <c r="R3" s="62" t="s">
        <v>71</v>
      </c>
      <c r="S3" s="62" t="s">
        <v>72</v>
      </c>
      <c r="T3" s="62" t="s">
        <v>73</v>
      </c>
      <c r="U3" s="62" t="s">
        <v>74</v>
      </c>
      <c r="V3" s="62" t="s">
        <v>75</v>
      </c>
      <c r="W3" s="62" t="s">
        <v>76</v>
      </c>
      <c r="X3" s="57" t="s">
        <v>77</v>
      </c>
      <c r="Y3" s="64" t="s">
        <v>78</v>
      </c>
      <c r="Z3" s="65" t="s">
        <v>79</v>
      </c>
      <c r="AA3" s="65" t="s">
        <v>80</v>
      </c>
      <c r="AB3" s="60"/>
      <c r="AC3" s="52"/>
      <c r="AD3" s="49"/>
      <c r="AN3" s="19"/>
      <c r="AO3" s="50"/>
      <c r="AP3" s="19"/>
      <c r="AS3" s="14"/>
      <c r="AT3" s="14"/>
      <c r="AU3" s="14"/>
      <c r="AV3" s="14"/>
      <c r="AW3" s="14"/>
    </row>
    <row r="4" spans="1:58" s="18" customFormat="1" ht="30.75" customHeight="1" x14ac:dyDescent="0.2">
      <c r="A4" s="69"/>
      <c r="B4" s="69"/>
      <c r="C4" s="68"/>
      <c r="D4" s="71"/>
      <c r="E4" s="73"/>
      <c r="F4" s="68"/>
      <c r="G4" s="73"/>
      <c r="H4" s="73"/>
      <c r="I4" s="68"/>
      <c r="J4" s="54"/>
      <c r="K4" s="17"/>
      <c r="L4" s="56"/>
      <c r="M4" s="63"/>
      <c r="N4" s="67"/>
      <c r="O4" s="67"/>
      <c r="P4" s="63"/>
      <c r="Q4" s="63"/>
      <c r="R4" s="63"/>
      <c r="S4" s="63"/>
      <c r="T4" s="64"/>
      <c r="U4" s="64"/>
      <c r="V4" s="64"/>
      <c r="W4" s="64"/>
      <c r="X4" s="58"/>
      <c r="Y4" s="64"/>
      <c r="Z4" s="65"/>
      <c r="AA4" s="65"/>
      <c r="AB4" s="61"/>
      <c r="AC4" s="53"/>
      <c r="AD4" s="49"/>
      <c r="AN4" s="19"/>
      <c r="AO4" s="50"/>
      <c r="AP4" s="19"/>
      <c r="AS4" s="14"/>
      <c r="AT4" s="14"/>
      <c r="AU4" s="14"/>
      <c r="AV4" s="14"/>
      <c r="AW4" s="14"/>
    </row>
    <row r="5" spans="1:58" s="25" customFormat="1" ht="15" customHeight="1" x14ac:dyDescent="0.25">
      <c r="A5" s="38" t="s">
        <v>81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B5+E5+F5+G5+H5+I5+C5+D5</f>
        <v>110</v>
      </c>
      <c r="K5" s="21"/>
      <c r="L5" s="22"/>
      <c r="M5" s="22"/>
      <c r="N5" s="46"/>
      <c r="O5" s="46"/>
      <c r="P5" s="22"/>
      <c r="Q5" s="22"/>
      <c r="R5" s="22"/>
      <c r="S5" s="22"/>
      <c r="T5" s="22"/>
      <c r="U5" s="22">
        <v>57</v>
      </c>
      <c r="V5" s="22"/>
      <c r="W5" s="22"/>
      <c r="X5" s="43"/>
      <c r="Y5" s="22"/>
      <c r="Z5" s="22">
        <v>8</v>
      </c>
      <c r="AA5" s="22">
        <v>14</v>
      </c>
      <c r="AB5" s="24">
        <f>L5+M5+P5+Q5+R5+S5+U5+V5+W5+T5+Y5+Z5+AA5</f>
        <v>79</v>
      </c>
      <c r="AC5" s="24">
        <f>J5-AB5</f>
        <v>31</v>
      </c>
      <c r="AD5" s="25">
        <v>11.41</v>
      </c>
      <c r="AE5" s="25">
        <f>B5*$AD5</f>
        <v>1255.0999999999999</v>
      </c>
      <c r="AF5" s="25">
        <f t="shared" ref="AF5:BF5" si="0">C5*$AD5</f>
        <v>0</v>
      </c>
      <c r="AG5" s="25">
        <f t="shared" si="0"/>
        <v>0</v>
      </c>
      <c r="AH5" s="25">
        <f t="shared" si="0"/>
        <v>0</v>
      </c>
      <c r="AI5" s="25">
        <f t="shared" si="0"/>
        <v>0</v>
      </c>
      <c r="AJ5" s="25">
        <f t="shared" si="0"/>
        <v>0</v>
      </c>
      <c r="AK5" s="25">
        <f t="shared" si="0"/>
        <v>0</v>
      </c>
      <c r="AL5" s="25">
        <f t="shared" si="0"/>
        <v>0</v>
      </c>
      <c r="AM5" s="25">
        <f t="shared" si="0"/>
        <v>1255.0999999999999</v>
      </c>
      <c r="AN5" s="25">
        <f t="shared" si="0"/>
        <v>0</v>
      </c>
      <c r="AO5" s="25">
        <f t="shared" si="0"/>
        <v>0</v>
      </c>
      <c r="AP5" s="25">
        <f t="shared" si="0"/>
        <v>0</v>
      </c>
      <c r="AQ5" s="25">
        <f t="shared" si="0"/>
        <v>0</v>
      </c>
      <c r="AR5" s="25">
        <f t="shared" si="0"/>
        <v>0</v>
      </c>
      <c r="AS5" s="25">
        <f t="shared" si="0"/>
        <v>0</v>
      </c>
      <c r="AT5" s="25">
        <f t="shared" si="0"/>
        <v>0</v>
      </c>
      <c r="AU5" s="25">
        <f t="shared" si="0"/>
        <v>0</v>
      </c>
      <c r="AV5" s="25">
        <f t="shared" si="0"/>
        <v>0</v>
      </c>
      <c r="AW5" s="25">
        <f t="shared" si="0"/>
        <v>0</v>
      </c>
      <c r="AX5" s="25">
        <f t="shared" si="0"/>
        <v>650.37</v>
      </c>
      <c r="AY5" s="25">
        <f t="shared" si="0"/>
        <v>0</v>
      </c>
      <c r="AZ5" s="25">
        <f t="shared" si="0"/>
        <v>0</v>
      </c>
      <c r="BA5" s="25">
        <f t="shared" si="0"/>
        <v>0</v>
      </c>
      <c r="BB5" s="25">
        <f t="shared" si="0"/>
        <v>0</v>
      </c>
      <c r="BC5" s="25">
        <f t="shared" si="0"/>
        <v>91.28</v>
      </c>
      <c r="BD5" s="25">
        <f t="shared" si="0"/>
        <v>159.74</v>
      </c>
      <c r="BE5" s="25">
        <f t="shared" si="0"/>
        <v>901.39</v>
      </c>
      <c r="BF5" s="25">
        <f t="shared" si="0"/>
        <v>353.71</v>
      </c>
    </row>
    <row r="6" spans="1:58" s="25" customFormat="1" ht="15" customHeight="1" x14ac:dyDescent="0.25">
      <c r="A6" s="38" t="s">
        <v>82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27" si="1">B6+E6+F6+G6+H6+I6+C6+D6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43"/>
      <c r="Y6" s="23"/>
      <c r="Z6" s="23"/>
      <c r="AA6" s="23"/>
      <c r="AB6" s="24">
        <f t="shared" ref="AB6:AB44" si="2">L6+M6+P6+Q6+R6+S6+U6+V6+W6+T6+Y6+Z6+AA6</f>
        <v>0</v>
      </c>
      <c r="AC6" s="24">
        <f t="shared" ref="AC6:AC69" si="3">J6-AB6</f>
        <v>12</v>
      </c>
      <c r="AD6" s="25">
        <v>3.52</v>
      </c>
      <c r="AE6" s="25">
        <f t="shared" ref="AE6:AE69" si="4">B6*$AD6</f>
        <v>42.24</v>
      </c>
      <c r="AF6" s="25">
        <f t="shared" ref="AF6:AF69" si="5">C6*$AD6</f>
        <v>0</v>
      </c>
      <c r="AG6" s="25">
        <f t="shared" ref="AG6:AG69" si="6">D6*$AD6</f>
        <v>0</v>
      </c>
      <c r="AH6" s="25">
        <f t="shared" ref="AH6:AH69" si="7">E6*$AD6</f>
        <v>0</v>
      </c>
      <c r="AI6" s="25">
        <f t="shared" ref="AI6:AI69" si="8">F6*$AD6</f>
        <v>0</v>
      </c>
      <c r="AJ6" s="25">
        <f t="shared" ref="AJ6:AJ69" si="9">G6*$AD6</f>
        <v>0</v>
      </c>
      <c r="AK6" s="25">
        <f t="shared" ref="AK6:AK69" si="10">H6*$AD6</f>
        <v>0</v>
      </c>
      <c r="AL6" s="25">
        <f t="shared" ref="AL6:AL69" si="11">I6*$AD6</f>
        <v>0</v>
      </c>
      <c r="AM6" s="25">
        <f t="shared" ref="AM6:AM69" si="12">J6*$AD6</f>
        <v>42.24</v>
      </c>
      <c r="AN6" s="25">
        <f t="shared" ref="AN6:AN69" si="13">K6*$AD6</f>
        <v>0</v>
      </c>
      <c r="AO6" s="25">
        <f t="shared" ref="AO6:AO69" si="14">L6*$AD6</f>
        <v>0</v>
      </c>
      <c r="AP6" s="25">
        <f t="shared" ref="AP6:AP69" si="15">M6*$AD6</f>
        <v>0</v>
      </c>
      <c r="AQ6" s="25">
        <f t="shared" ref="AQ6:AQ69" si="16">N6*$AD6</f>
        <v>0</v>
      </c>
      <c r="AR6" s="25">
        <f t="shared" ref="AR6:AR69" si="17">O6*$AD6</f>
        <v>0</v>
      </c>
      <c r="AS6" s="25">
        <f t="shared" ref="AS6:AS69" si="18">P6*$AD6</f>
        <v>0</v>
      </c>
      <c r="AT6" s="25">
        <f t="shared" ref="AT6:AT69" si="19">Q6*$AD6</f>
        <v>0</v>
      </c>
      <c r="AU6" s="25">
        <f t="shared" ref="AU6:AU69" si="20">R6*$AD6</f>
        <v>0</v>
      </c>
      <c r="AV6" s="25">
        <f t="shared" ref="AV6:AV69" si="21">S6*$AD6</f>
        <v>0</v>
      </c>
      <c r="AW6" s="25">
        <f t="shared" ref="AW6:AW69" si="22">T6*$AD6</f>
        <v>0</v>
      </c>
      <c r="AX6" s="25">
        <f t="shared" ref="AX6:AX69" si="23">U6*$AD6</f>
        <v>0</v>
      </c>
      <c r="AY6" s="25">
        <f t="shared" ref="AY6:AY69" si="24">V6*$AD6</f>
        <v>0</v>
      </c>
      <c r="AZ6" s="25">
        <f t="shared" ref="AZ6:AZ69" si="25">W6*$AD6</f>
        <v>0</v>
      </c>
      <c r="BA6" s="25">
        <f t="shared" ref="BA6:BA69" si="26">X6*$AD6</f>
        <v>0</v>
      </c>
      <c r="BB6" s="25">
        <f t="shared" ref="BB6:BB69" si="27">Y6*$AD6</f>
        <v>0</v>
      </c>
      <c r="BC6" s="25">
        <f t="shared" ref="BC6:BC69" si="28">Z6*$AD6</f>
        <v>0</v>
      </c>
      <c r="BD6" s="25">
        <f t="shared" ref="BD6:BD69" si="29">AA6*$AD6</f>
        <v>0</v>
      </c>
      <c r="BE6" s="25">
        <f t="shared" ref="BE6:BE69" si="30">AB6*$AD6</f>
        <v>0</v>
      </c>
      <c r="BF6" s="25">
        <f t="shared" ref="BF6:BF69" si="31">AC6*$AD6</f>
        <v>42.24</v>
      </c>
    </row>
    <row r="7" spans="1:58" s="25" customFormat="1" ht="15" customHeight="1" x14ac:dyDescent="0.25">
      <c r="A7" s="38" t="s">
        <v>83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1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43"/>
      <c r="Y7" s="23"/>
      <c r="Z7" s="23"/>
      <c r="AA7" s="23"/>
      <c r="AB7" s="24">
        <f t="shared" si="2"/>
        <v>0</v>
      </c>
      <c r="AC7" s="24">
        <f t="shared" si="3"/>
        <v>7</v>
      </c>
      <c r="AD7" s="25">
        <v>3</v>
      </c>
      <c r="AE7" s="25">
        <f t="shared" si="4"/>
        <v>9</v>
      </c>
      <c r="AF7" s="25">
        <f t="shared" si="5"/>
        <v>0</v>
      </c>
      <c r="AG7" s="25">
        <f t="shared" si="6"/>
        <v>0</v>
      </c>
      <c r="AH7" s="25">
        <f t="shared" si="7"/>
        <v>0</v>
      </c>
      <c r="AI7" s="25">
        <f t="shared" si="8"/>
        <v>12</v>
      </c>
      <c r="AJ7" s="25">
        <f t="shared" si="9"/>
        <v>0</v>
      </c>
      <c r="AK7" s="25">
        <f t="shared" si="10"/>
        <v>0</v>
      </c>
      <c r="AL7" s="25">
        <f t="shared" si="11"/>
        <v>0</v>
      </c>
      <c r="AM7" s="25">
        <f t="shared" si="12"/>
        <v>21</v>
      </c>
      <c r="AN7" s="25">
        <f t="shared" si="13"/>
        <v>0</v>
      </c>
      <c r="AO7" s="25">
        <f t="shared" si="14"/>
        <v>0</v>
      </c>
      <c r="AP7" s="25">
        <f t="shared" si="15"/>
        <v>0</v>
      </c>
      <c r="AQ7" s="25">
        <f t="shared" si="16"/>
        <v>0</v>
      </c>
      <c r="AR7" s="25">
        <f t="shared" si="17"/>
        <v>0</v>
      </c>
      <c r="AS7" s="25">
        <f t="shared" si="18"/>
        <v>0</v>
      </c>
      <c r="AT7" s="25">
        <f t="shared" si="19"/>
        <v>0</v>
      </c>
      <c r="AU7" s="25">
        <f t="shared" si="20"/>
        <v>0</v>
      </c>
      <c r="AV7" s="25">
        <f t="shared" si="21"/>
        <v>0</v>
      </c>
      <c r="AW7" s="25">
        <f t="shared" si="22"/>
        <v>0</v>
      </c>
      <c r="AX7" s="25">
        <f t="shared" si="23"/>
        <v>0</v>
      </c>
      <c r="AY7" s="25">
        <f t="shared" si="24"/>
        <v>0</v>
      </c>
      <c r="AZ7" s="25">
        <f t="shared" si="25"/>
        <v>0</v>
      </c>
      <c r="BA7" s="25">
        <f t="shared" si="26"/>
        <v>0</v>
      </c>
      <c r="BB7" s="25">
        <f t="shared" si="27"/>
        <v>0</v>
      </c>
      <c r="BC7" s="25">
        <f t="shared" si="28"/>
        <v>0</v>
      </c>
      <c r="BD7" s="25">
        <f t="shared" si="29"/>
        <v>0</v>
      </c>
      <c r="BE7" s="25">
        <f t="shared" si="30"/>
        <v>0</v>
      </c>
      <c r="BF7" s="25">
        <f t="shared" si="31"/>
        <v>21</v>
      </c>
    </row>
    <row r="8" spans="1:58" s="25" customFormat="1" ht="15" customHeight="1" x14ac:dyDescent="0.25">
      <c r="A8" s="38" t="s">
        <v>84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1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43"/>
      <c r="Y8" s="23"/>
      <c r="Z8" s="23"/>
      <c r="AA8" s="23"/>
      <c r="AB8" s="24">
        <f t="shared" si="2"/>
        <v>31</v>
      </c>
      <c r="AC8" s="24">
        <f t="shared" si="3"/>
        <v>0</v>
      </c>
      <c r="AD8" s="25">
        <v>3</v>
      </c>
      <c r="AE8" s="25">
        <f t="shared" si="4"/>
        <v>93</v>
      </c>
      <c r="AF8" s="25">
        <f t="shared" si="5"/>
        <v>0</v>
      </c>
      <c r="AG8" s="25">
        <f t="shared" si="6"/>
        <v>0</v>
      </c>
      <c r="AH8" s="25">
        <f t="shared" si="7"/>
        <v>0</v>
      </c>
      <c r="AI8" s="25">
        <f t="shared" si="8"/>
        <v>0</v>
      </c>
      <c r="AJ8" s="25">
        <f t="shared" si="9"/>
        <v>0</v>
      </c>
      <c r="AK8" s="25">
        <f t="shared" si="10"/>
        <v>0</v>
      </c>
      <c r="AL8" s="25">
        <f t="shared" si="11"/>
        <v>0</v>
      </c>
      <c r="AM8" s="25">
        <f t="shared" si="12"/>
        <v>93</v>
      </c>
      <c r="AN8" s="25">
        <f t="shared" si="13"/>
        <v>0</v>
      </c>
      <c r="AO8" s="25">
        <f t="shared" si="14"/>
        <v>0</v>
      </c>
      <c r="AP8" s="25">
        <f t="shared" si="15"/>
        <v>93</v>
      </c>
      <c r="AQ8" s="25">
        <f t="shared" si="16"/>
        <v>0</v>
      </c>
      <c r="AR8" s="25">
        <f t="shared" si="17"/>
        <v>0</v>
      </c>
      <c r="AS8" s="25">
        <f t="shared" si="18"/>
        <v>0</v>
      </c>
      <c r="AT8" s="25">
        <f t="shared" si="19"/>
        <v>0</v>
      </c>
      <c r="AU8" s="25">
        <f t="shared" si="20"/>
        <v>0</v>
      </c>
      <c r="AV8" s="25">
        <f t="shared" si="21"/>
        <v>0</v>
      </c>
      <c r="AW8" s="25">
        <f t="shared" si="22"/>
        <v>0</v>
      </c>
      <c r="AX8" s="25">
        <f t="shared" si="23"/>
        <v>0</v>
      </c>
      <c r="AY8" s="25">
        <f t="shared" si="24"/>
        <v>0</v>
      </c>
      <c r="AZ8" s="25">
        <f t="shared" si="25"/>
        <v>0</v>
      </c>
      <c r="BA8" s="25">
        <f t="shared" si="26"/>
        <v>0</v>
      </c>
      <c r="BB8" s="25">
        <f t="shared" si="27"/>
        <v>0</v>
      </c>
      <c r="BC8" s="25">
        <f t="shared" si="28"/>
        <v>0</v>
      </c>
      <c r="BD8" s="25">
        <f t="shared" si="29"/>
        <v>0</v>
      </c>
      <c r="BE8" s="25">
        <f t="shared" si="30"/>
        <v>93</v>
      </c>
      <c r="BF8" s="25">
        <f t="shared" si="31"/>
        <v>0</v>
      </c>
    </row>
    <row r="9" spans="1:58" s="25" customFormat="1" ht="15" customHeight="1" x14ac:dyDescent="0.25">
      <c r="A9" s="38" t="s">
        <v>85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1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43"/>
      <c r="Y9" s="23"/>
      <c r="Z9" s="23"/>
      <c r="AA9" s="23"/>
      <c r="AB9" s="24">
        <f t="shared" si="2"/>
        <v>0</v>
      </c>
      <c r="AC9" s="24">
        <f t="shared" si="3"/>
        <v>0</v>
      </c>
      <c r="AD9" s="25">
        <v>0.84</v>
      </c>
      <c r="AE9" s="25">
        <f t="shared" si="4"/>
        <v>0</v>
      </c>
      <c r="AF9" s="25">
        <f t="shared" si="5"/>
        <v>0</v>
      </c>
      <c r="AG9" s="25">
        <f t="shared" si="6"/>
        <v>0</v>
      </c>
      <c r="AH9" s="25">
        <f t="shared" si="7"/>
        <v>0</v>
      </c>
      <c r="AI9" s="25">
        <f t="shared" si="8"/>
        <v>0</v>
      </c>
      <c r="AJ9" s="25">
        <f t="shared" si="9"/>
        <v>0</v>
      </c>
      <c r="AK9" s="25">
        <f t="shared" si="10"/>
        <v>0</v>
      </c>
      <c r="AL9" s="25">
        <f t="shared" si="11"/>
        <v>0</v>
      </c>
      <c r="AM9" s="25">
        <f t="shared" si="12"/>
        <v>0</v>
      </c>
      <c r="AN9" s="25">
        <f t="shared" si="13"/>
        <v>0</v>
      </c>
      <c r="AO9" s="25">
        <f t="shared" si="14"/>
        <v>0</v>
      </c>
      <c r="AP9" s="25">
        <f t="shared" si="15"/>
        <v>0</v>
      </c>
      <c r="AQ9" s="25">
        <f t="shared" si="16"/>
        <v>0</v>
      </c>
      <c r="AR9" s="25">
        <f t="shared" si="17"/>
        <v>0</v>
      </c>
      <c r="AS9" s="25">
        <f t="shared" si="18"/>
        <v>0</v>
      </c>
      <c r="AT9" s="25">
        <f t="shared" si="19"/>
        <v>0</v>
      </c>
      <c r="AU9" s="25">
        <f t="shared" si="20"/>
        <v>0</v>
      </c>
      <c r="AV9" s="25">
        <f t="shared" si="21"/>
        <v>0</v>
      </c>
      <c r="AW9" s="25">
        <f t="shared" si="22"/>
        <v>0</v>
      </c>
      <c r="AX9" s="25">
        <f t="shared" si="23"/>
        <v>0</v>
      </c>
      <c r="AY9" s="25">
        <f t="shared" si="24"/>
        <v>0</v>
      </c>
      <c r="AZ9" s="25">
        <f t="shared" si="25"/>
        <v>0</v>
      </c>
      <c r="BA9" s="25">
        <f t="shared" si="26"/>
        <v>0</v>
      </c>
      <c r="BB9" s="25">
        <f t="shared" si="27"/>
        <v>0</v>
      </c>
      <c r="BC9" s="25">
        <f t="shared" si="28"/>
        <v>0</v>
      </c>
      <c r="BD9" s="25">
        <f t="shared" si="29"/>
        <v>0</v>
      </c>
      <c r="BE9" s="25">
        <f t="shared" si="30"/>
        <v>0</v>
      </c>
      <c r="BF9" s="25">
        <f t="shared" si="31"/>
        <v>0</v>
      </c>
    </row>
    <row r="10" spans="1:58" s="25" customFormat="1" ht="15" customHeight="1" x14ac:dyDescent="0.25">
      <c r="A10" s="38" t="s">
        <v>86</v>
      </c>
      <c r="B10" s="38">
        <v>886</v>
      </c>
      <c r="C10" s="27"/>
      <c r="D10" s="27"/>
      <c r="E10" s="20"/>
      <c r="F10" s="20">
        <v>57</v>
      </c>
      <c r="G10" s="20"/>
      <c r="H10" s="20">
        <v>8</v>
      </c>
      <c r="I10" s="20"/>
      <c r="J10" s="20">
        <f t="shared" si="1"/>
        <v>951</v>
      </c>
      <c r="K10" s="21"/>
      <c r="L10" s="23"/>
      <c r="M10" s="23"/>
      <c r="N10" s="43"/>
      <c r="O10" s="43"/>
      <c r="P10" s="23"/>
      <c r="Q10" s="23"/>
      <c r="R10" s="23">
        <v>192</v>
      </c>
      <c r="S10" s="23"/>
      <c r="T10" s="23"/>
      <c r="U10" s="23">
        <v>347</v>
      </c>
      <c r="V10" s="23"/>
      <c r="W10" s="23"/>
      <c r="X10" s="43"/>
      <c r="Y10" s="23"/>
      <c r="Z10" s="23">
        <v>40</v>
      </c>
      <c r="AA10" s="23">
        <v>125</v>
      </c>
      <c r="AB10" s="24">
        <f t="shared" si="2"/>
        <v>704</v>
      </c>
      <c r="AC10" s="24">
        <f t="shared" si="3"/>
        <v>247</v>
      </c>
      <c r="AD10" s="25">
        <v>1.26</v>
      </c>
      <c r="AE10" s="25">
        <f t="shared" si="4"/>
        <v>1116.3599999999999</v>
      </c>
      <c r="AF10" s="25">
        <f t="shared" si="5"/>
        <v>0</v>
      </c>
      <c r="AG10" s="25">
        <f t="shared" si="6"/>
        <v>0</v>
      </c>
      <c r="AH10" s="25">
        <f t="shared" si="7"/>
        <v>0</v>
      </c>
      <c r="AI10" s="25">
        <f t="shared" si="8"/>
        <v>71.820000000000007</v>
      </c>
      <c r="AJ10" s="25">
        <f t="shared" si="9"/>
        <v>0</v>
      </c>
      <c r="AK10" s="25">
        <f t="shared" si="10"/>
        <v>10.08</v>
      </c>
      <c r="AL10" s="25">
        <f t="shared" si="11"/>
        <v>0</v>
      </c>
      <c r="AM10" s="25">
        <f t="shared" si="12"/>
        <v>1198.26</v>
      </c>
      <c r="AN10" s="25">
        <f t="shared" si="13"/>
        <v>0</v>
      </c>
      <c r="AO10" s="25">
        <f t="shared" si="14"/>
        <v>0</v>
      </c>
      <c r="AP10" s="25">
        <f t="shared" si="15"/>
        <v>0</v>
      </c>
      <c r="AQ10" s="25">
        <f t="shared" si="16"/>
        <v>0</v>
      </c>
      <c r="AR10" s="25">
        <f t="shared" si="17"/>
        <v>0</v>
      </c>
      <c r="AS10" s="25">
        <f t="shared" si="18"/>
        <v>0</v>
      </c>
      <c r="AT10" s="25">
        <f t="shared" si="19"/>
        <v>0</v>
      </c>
      <c r="AU10" s="25">
        <f t="shared" si="20"/>
        <v>241.92000000000002</v>
      </c>
      <c r="AV10" s="25">
        <f t="shared" si="21"/>
        <v>0</v>
      </c>
      <c r="AW10" s="25">
        <f t="shared" si="22"/>
        <v>0</v>
      </c>
      <c r="AX10" s="25">
        <f t="shared" si="23"/>
        <v>437.22</v>
      </c>
      <c r="AY10" s="25">
        <f t="shared" si="24"/>
        <v>0</v>
      </c>
      <c r="AZ10" s="25">
        <f t="shared" si="25"/>
        <v>0</v>
      </c>
      <c r="BA10" s="25">
        <f t="shared" si="26"/>
        <v>0</v>
      </c>
      <c r="BB10" s="25">
        <f t="shared" si="27"/>
        <v>0</v>
      </c>
      <c r="BC10" s="25">
        <f t="shared" si="28"/>
        <v>50.4</v>
      </c>
      <c r="BD10" s="25">
        <f t="shared" si="29"/>
        <v>157.5</v>
      </c>
      <c r="BE10" s="25">
        <f t="shared" si="30"/>
        <v>887.04</v>
      </c>
      <c r="BF10" s="25">
        <f t="shared" si="31"/>
        <v>311.22000000000003</v>
      </c>
    </row>
    <row r="11" spans="1:58" s="25" customFormat="1" ht="15" customHeight="1" x14ac:dyDescent="0.25">
      <c r="A11" s="38" t="s">
        <v>87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si="1"/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43"/>
      <c r="Y11" s="23"/>
      <c r="Z11" s="23"/>
      <c r="AA11" s="23"/>
      <c r="AB11" s="24">
        <f t="shared" si="2"/>
        <v>0</v>
      </c>
      <c r="AC11" s="24">
        <f t="shared" si="3"/>
        <v>0</v>
      </c>
      <c r="AD11" s="25">
        <v>1.26</v>
      </c>
      <c r="AE11" s="25">
        <f t="shared" si="4"/>
        <v>0</v>
      </c>
      <c r="AF11" s="25">
        <f t="shared" si="5"/>
        <v>0</v>
      </c>
      <c r="AG11" s="25">
        <f t="shared" si="6"/>
        <v>0</v>
      </c>
      <c r="AH11" s="25">
        <f t="shared" si="7"/>
        <v>0</v>
      </c>
      <c r="AI11" s="25">
        <f t="shared" si="8"/>
        <v>0</v>
      </c>
      <c r="AJ11" s="25">
        <f t="shared" si="9"/>
        <v>0</v>
      </c>
      <c r="AK11" s="25">
        <f t="shared" si="10"/>
        <v>0</v>
      </c>
      <c r="AL11" s="25">
        <f t="shared" si="11"/>
        <v>0</v>
      </c>
      <c r="AM11" s="25">
        <f t="shared" si="12"/>
        <v>0</v>
      </c>
      <c r="AN11" s="25">
        <f t="shared" si="13"/>
        <v>0</v>
      </c>
      <c r="AO11" s="25">
        <f t="shared" si="14"/>
        <v>0</v>
      </c>
      <c r="AP11" s="25">
        <f t="shared" si="15"/>
        <v>0</v>
      </c>
      <c r="AQ11" s="25">
        <f t="shared" si="16"/>
        <v>0</v>
      </c>
      <c r="AR11" s="25">
        <f t="shared" si="17"/>
        <v>0</v>
      </c>
      <c r="AS11" s="25">
        <f t="shared" si="18"/>
        <v>0</v>
      </c>
      <c r="AT11" s="25">
        <f t="shared" si="19"/>
        <v>0</v>
      </c>
      <c r="AU11" s="25">
        <f t="shared" si="20"/>
        <v>0</v>
      </c>
      <c r="AV11" s="25">
        <f t="shared" si="21"/>
        <v>0</v>
      </c>
      <c r="AW11" s="25">
        <f t="shared" si="22"/>
        <v>0</v>
      </c>
      <c r="AX11" s="25">
        <f t="shared" si="23"/>
        <v>0</v>
      </c>
      <c r="AY11" s="25">
        <f t="shared" si="24"/>
        <v>0</v>
      </c>
      <c r="AZ11" s="25">
        <f t="shared" si="25"/>
        <v>0</v>
      </c>
      <c r="BA11" s="25">
        <f t="shared" si="26"/>
        <v>0</v>
      </c>
      <c r="BB11" s="25">
        <f t="shared" si="27"/>
        <v>0</v>
      </c>
      <c r="BC11" s="25">
        <f t="shared" si="28"/>
        <v>0</v>
      </c>
      <c r="BD11" s="25">
        <f t="shared" si="29"/>
        <v>0</v>
      </c>
      <c r="BE11" s="25">
        <f t="shared" si="30"/>
        <v>0</v>
      </c>
      <c r="BF11" s="25">
        <f t="shared" si="31"/>
        <v>0</v>
      </c>
    </row>
    <row r="12" spans="1:58" s="25" customFormat="1" ht="15" customHeight="1" x14ac:dyDescent="0.25">
      <c r="A12" s="38" t="s">
        <v>88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1"/>
        <v>267</v>
      </c>
      <c r="K12" s="21"/>
      <c r="L12" s="23"/>
      <c r="M12" s="23"/>
      <c r="N12" s="43"/>
      <c r="O12" s="43"/>
      <c r="P12" s="23"/>
      <c r="Q12" s="23"/>
      <c r="R12" s="23">
        <v>0</v>
      </c>
      <c r="S12" s="23"/>
      <c r="T12" s="23"/>
      <c r="U12" s="23"/>
      <c r="V12" s="23"/>
      <c r="W12" s="23"/>
      <c r="X12" s="43"/>
      <c r="Y12" s="23"/>
      <c r="Z12" s="23"/>
      <c r="AA12" s="23"/>
      <c r="AB12" s="24">
        <f t="shared" si="2"/>
        <v>0</v>
      </c>
      <c r="AC12" s="24">
        <f t="shared" si="3"/>
        <v>267</v>
      </c>
      <c r="AD12" s="25">
        <v>1.68</v>
      </c>
      <c r="AE12" s="25">
        <f t="shared" si="4"/>
        <v>448.56</v>
      </c>
      <c r="AF12" s="25">
        <f t="shared" si="5"/>
        <v>0</v>
      </c>
      <c r="AG12" s="25">
        <f t="shared" si="6"/>
        <v>0</v>
      </c>
      <c r="AH12" s="25">
        <f t="shared" si="7"/>
        <v>0</v>
      </c>
      <c r="AI12" s="25">
        <f t="shared" si="8"/>
        <v>0</v>
      </c>
      <c r="AJ12" s="25">
        <f t="shared" si="9"/>
        <v>0</v>
      </c>
      <c r="AK12" s="25">
        <f t="shared" si="10"/>
        <v>0</v>
      </c>
      <c r="AL12" s="25">
        <f t="shared" si="11"/>
        <v>0</v>
      </c>
      <c r="AM12" s="25">
        <f t="shared" si="12"/>
        <v>448.56</v>
      </c>
      <c r="AN12" s="25">
        <f t="shared" si="13"/>
        <v>0</v>
      </c>
      <c r="AO12" s="25">
        <f t="shared" si="14"/>
        <v>0</v>
      </c>
      <c r="AP12" s="25">
        <f t="shared" si="15"/>
        <v>0</v>
      </c>
      <c r="AQ12" s="25">
        <f t="shared" si="16"/>
        <v>0</v>
      </c>
      <c r="AR12" s="25">
        <f t="shared" si="17"/>
        <v>0</v>
      </c>
      <c r="AS12" s="25">
        <f t="shared" si="18"/>
        <v>0</v>
      </c>
      <c r="AT12" s="25">
        <f t="shared" si="19"/>
        <v>0</v>
      </c>
      <c r="AU12" s="25">
        <f t="shared" si="20"/>
        <v>0</v>
      </c>
      <c r="AV12" s="25">
        <f t="shared" si="21"/>
        <v>0</v>
      </c>
      <c r="AW12" s="25">
        <f t="shared" si="22"/>
        <v>0</v>
      </c>
      <c r="AX12" s="25">
        <f t="shared" si="23"/>
        <v>0</v>
      </c>
      <c r="AY12" s="25">
        <f t="shared" si="24"/>
        <v>0</v>
      </c>
      <c r="AZ12" s="25">
        <f t="shared" si="25"/>
        <v>0</v>
      </c>
      <c r="BA12" s="25">
        <f t="shared" si="26"/>
        <v>0</v>
      </c>
      <c r="BB12" s="25">
        <f t="shared" si="27"/>
        <v>0</v>
      </c>
      <c r="BC12" s="25">
        <f t="shared" si="28"/>
        <v>0</v>
      </c>
      <c r="BD12" s="25">
        <f t="shared" si="29"/>
        <v>0</v>
      </c>
      <c r="BE12" s="25">
        <f t="shared" si="30"/>
        <v>0</v>
      </c>
      <c r="BF12" s="25">
        <f t="shared" si="31"/>
        <v>448.56</v>
      </c>
    </row>
    <row r="13" spans="1:58" s="25" customFormat="1" ht="15" customHeight="1" x14ac:dyDescent="0.25">
      <c r="A13" s="38" t="s">
        <v>89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1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43"/>
      <c r="Y13" s="23"/>
      <c r="Z13" s="23"/>
      <c r="AA13" s="23"/>
      <c r="AB13" s="24">
        <f t="shared" si="2"/>
        <v>0</v>
      </c>
      <c r="AC13" s="24">
        <f t="shared" si="3"/>
        <v>0</v>
      </c>
      <c r="AD13" s="25">
        <v>1.68</v>
      </c>
      <c r="AE13" s="25">
        <f t="shared" si="4"/>
        <v>0</v>
      </c>
      <c r="AF13" s="25">
        <f t="shared" si="5"/>
        <v>0</v>
      </c>
      <c r="AG13" s="25">
        <f t="shared" si="6"/>
        <v>0</v>
      </c>
      <c r="AH13" s="25">
        <f t="shared" si="7"/>
        <v>0</v>
      </c>
      <c r="AI13" s="25">
        <f t="shared" si="8"/>
        <v>0</v>
      </c>
      <c r="AJ13" s="25">
        <f t="shared" si="9"/>
        <v>0</v>
      </c>
      <c r="AK13" s="25">
        <f t="shared" si="10"/>
        <v>0</v>
      </c>
      <c r="AL13" s="25">
        <f t="shared" si="11"/>
        <v>0</v>
      </c>
      <c r="AM13" s="25">
        <f t="shared" si="12"/>
        <v>0</v>
      </c>
      <c r="AN13" s="25">
        <f t="shared" si="13"/>
        <v>0</v>
      </c>
      <c r="AO13" s="25">
        <f t="shared" si="14"/>
        <v>0</v>
      </c>
      <c r="AP13" s="25">
        <f t="shared" si="15"/>
        <v>0</v>
      </c>
      <c r="AQ13" s="25">
        <f t="shared" si="16"/>
        <v>0</v>
      </c>
      <c r="AR13" s="25">
        <f t="shared" si="17"/>
        <v>0</v>
      </c>
      <c r="AS13" s="25">
        <f t="shared" si="18"/>
        <v>0</v>
      </c>
      <c r="AT13" s="25">
        <f t="shared" si="19"/>
        <v>0</v>
      </c>
      <c r="AU13" s="25">
        <f t="shared" si="20"/>
        <v>0</v>
      </c>
      <c r="AV13" s="25">
        <f t="shared" si="21"/>
        <v>0</v>
      </c>
      <c r="AW13" s="25">
        <f t="shared" si="22"/>
        <v>0</v>
      </c>
      <c r="AX13" s="25">
        <f t="shared" si="23"/>
        <v>0</v>
      </c>
      <c r="AY13" s="25">
        <f t="shared" si="24"/>
        <v>0</v>
      </c>
      <c r="AZ13" s="25">
        <f t="shared" si="25"/>
        <v>0</v>
      </c>
      <c r="BA13" s="25">
        <f t="shared" si="26"/>
        <v>0</v>
      </c>
      <c r="BB13" s="25">
        <f t="shared" si="27"/>
        <v>0</v>
      </c>
      <c r="BC13" s="25">
        <f t="shared" si="28"/>
        <v>0</v>
      </c>
      <c r="BD13" s="25">
        <f t="shared" si="29"/>
        <v>0</v>
      </c>
      <c r="BE13" s="25">
        <f t="shared" si="30"/>
        <v>0</v>
      </c>
      <c r="BF13" s="25">
        <f t="shared" si="31"/>
        <v>0</v>
      </c>
    </row>
    <row r="14" spans="1:58" s="25" customFormat="1" ht="15" customHeight="1" x14ac:dyDescent="0.25">
      <c r="A14" s="38" t="s">
        <v>90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1"/>
        <v>279</v>
      </c>
      <c r="K14" s="21"/>
      <c r="L14" s="23"/>
      <c r="M14" s="23"/>
      <c r="N14" s="43"/>
      <c r="O14" s="43"/>
      <c r="P14" s="23"/>
      <c r="Q14" s="23"/>
      <c r="R14" s="23">
        <v>0</v>
      </c>
      <c r="S14" s="23"/>
      <c r="T14" s="23"/>
      <c r="U14" s="23"/>
      <c r="V14" s="23"/>
      <c r="W14" s="23"/>
      <c r="X14" s="43"/>
      <c r="Y14" s="23"/>
      <c r="Z14" s="23"/>
      <c r="AA14" s="23"/>
      <c r="AB14" s="24">
        <f t="shared" si="2"/>
        <v>0</v>
      </c>
      <c r="AC14" s="24">
        <f t="shared" si="3"/>
        <v>279</v>
      </c>
      <c r="AD14" s="25">
        <v>1.68</v>
      </c>
      <c r="AE14" s="25">
        <f t="shared" si="4"/>
        <v>468.71999999999997</v>
      </c>
      <c r="AF14" s="25">
        <f t="shared" si="5"/>
        <v>0</v>
      </c>
      <c r="AG14" s="25">
        <f t="shared" si="6"/>
        <v>0</v>
      </c>
      <c r="AH14" s="25">
        <f t="shared" si="7"/>
        <v>0</v>
      </c>
      <c r="AI14" s="25">
        <f t="shared" si="8"/>
        <v>0</v>
      </c>
      <c r="AJ14" s="25">
        <f t="shared" si="9"/>
        <v>0</v>
      </c>
      <c r="AK14" s="25">
        <f t="shared" si="10"/>
        <v>0</v>
      </c>
      <c r="AL14" s="25">
        <f t="shared" si="11"/>
        <v>0</v>
      </c>
      <c r="AM14" s="25">
        <f t="shared" si="12"/>
        <v>468.71999999999997</v>
      </c>
      <c r="AN14" s="25">
        <f t="shared" si="13"/>
        <v>0</v>
      </c>
      <c r="AO14" s="25">
        <f t="shared" si="14"/>
        <v>0</v>
      </c>
      <c r="AP14" s="25">
        <f t="shared" si="15"/>
        <v>0</v>
      </c>
      <c r="AQ14" s="25">
        <f t="shared" si="16"/>
        <v>0</v>
      </c>
      <c r="AR14" s="25">
        <f t="shared" si="17"/>
        <v>0</v>
      </c>
      <c r="AS14" s="25">
        <f t="shared" si="18"/>
        <v>0</v>
      </c>
      <c r="AT14" s="25">
        <f t="shared" si="19"/>
        <v>0</v>
      </c>
      <c r="AU14" s="25">
        <f t="shared" si="20"/>
        <v>0</v>
      </c>
      <c r="AV14" s="25">
        <f t="shared" si="21"/>
        <v>0</v>
      </c>
      <c r="AW14" s="25">
        <f t="shared" si="22"/>
        <v>0</v>
      </c>
      <c r="AX14" s="25">
        <f t="shared" si="23"/>
        <v>0</v>
      </c>
      <c r="AY14" s="25">
        <f t="shared" si="24"/>
        <v>0</v>
      </c>
      <c r="AZ14" s="25">
        <f t="shared" si="25"/>
        <v>0</v>
      </c>
      <c r="BA14" s="25">
        <f t="shared" si="26"/>
        <v>0</v>
      </c>
      <c r="BB14" s="25">
        <f t="shared" si="27"/>
        <v>0</v>
      </c>
      <c r="BC14" s="25">
        <f t="shared" si="28"/>
        <v>0</v>
      </c>
      <c r="BD14" s="25">
        <f t="shared" si="29"/>
        <v>0</v>
      </c>
      <c r="BE14" s="25">
        <f t="shared" si="30"/>
        <v>0</v>
      </c>
      <c r="BF14" s="25">
        <f t="shared" si="31"/>
        <v>468.71999999999997</v>
      </c>
    </row>
    <row r="15" spans="1:58" s="25" customFormat="1" ht="15" customHeight="1" x14ac:dyDescent="0.25">
      <c r="A15" s="38" t="s">
        <v>91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1"/>
        <v>0</v>
      </c>
      <c r="K15" s="21"/>
      <c r="L15" s="23"/>
      <c r="M15" s="23"/>
      <c r="N15" s="43"/>
      <c r="O15" s="43"/>
      <c r="P15" s="23"/>
      <c r="Q15" s="23"/>
      <c r="R15" s="23">
        <v>336</v>
      </c>
      <c r="S15" s="23"/>
      <c r="T15" s="23"/>
      <c r="U15" s="23"/>
      <c r="V15" s="23"/>
      <c r="W15" s="23"/>
      <c r="X15" s="43"/>
      <c r="Y15" s="23"/>
      <c r="Z15" s="23">
        <v>10</v>
      </c>
      <c r="AA15" s="23">
        <v>10</v>
      </c>
      <c r="AB15" s="24">
        <f t="shared" si="2"/>
        <v>356</v>
      </c>
      <c r="AC15" s="24">
        <f t="shared" si="3"/>
        <v>-356</v>
      </c>
      <c r="AD15" s="25">
        <v>2.52</v>
      </c>
      <c r="AE15" s="25">
        <f t="shared" si="4"/>
        <v>0</v>
      </c>
      <c r="AF15" s="25">
        <f t="shared" si="5"/>
        <v>0</v>
      </c>
      <c r="AG15" s="25">
        <f t="shared" si="6"/>
        <v>0</v>
      </c>
      <c r="AH15" s="25">
        <f t="shared" si="7"/>
        <v>0</v>
      </c>
      <c r="AI15" s="25">
        <f t="shared" si="8"/>
        <v>0</v>
      </c>
      <c r="AJ15" s="25">
        <f t="shared" si="9"/>
        <v>0</v>
      </c>
      <c r="AK15" s="25">
        <f t="shared" si="10"/>
        <v>0</v>
      </c>
      <c r="AL15" s="25">
        <f t="shared" si="11"/>
        <v>0</v>
      </c>
      <c r="AM15" s="25">
        <f t="shared" si="12"/>
        <v>0</v>
      </c>
      <c r="AN15" s="25">
        <f t="shared" si="13"/>
        <v>0</v>
      </c>
      <c r="AO15" s="25">
        <f t="shared" si="14"/>
        <v>0</v>
      </c>
      <c r="AP15" s="25">
        <f t="shared" si="15"/>
        <v>0</v>
      </c>
      <c r="AQ15" s="25">
        <f t="shared" si="16"/>
        <v>0</v>
      </c>
      <c r="AR15" s="25">
        <f t="shared" si="17"/>
        <v>0</v>
      </c>
      <c r="AS15" s="25">
        <f t="shared" si="18"/>
        <v>0</v>
      </c>
      <c r="AT15" s="25">
        <f t="shared" si="19"/>
        <v>0</v>
      </c>
      <c r="AU15" s="25">
        <f t="shared" si="20"/>
        <v>846.72</v>
      </c>
      <c r="AV15" s="25">
        <f t="shared" si="21"/>
        <v>0</v>
      </c>
      <c r="AW15" s="25">
        <f t="shared" si="22"/>
        <v>0</v>
      </c>
      <c r="AX15" s="25">
        <f t="shared" si="23"/>
        <v>0</v>
      </c>
      <c r="AY15" s="25">
        <f t="shared" si="24"/>
        <v>0</v>
      </c>
      <c r="AZ15" s="25">
        <f t="shared" si="25"/>
        <v>0</v>
      </c>
      <c r="BA15" s="25">
        <f t="shared" si="26"/>
        <v>0</v>
      </c>
      <c r="BB15" s="25">
        <f t="shared" si="27"/>
        <v>0</v>
      </c>
      <c r="BC15" s="25">
        <f t="shared" si="28"/>
        <v>25.2</v>
      </c>
      <c r="BD15" s="25">
        <f t="shared" si="29"/>
        <v>25.2</v>
      </c>
      <c r="BE15" s="25">
        <f t="shared" si="30"/>
        <v>897.12</v>
      </c>
      <c r="BF15" s="25">
        <f t="shared" si="31"/>
        <v>-897.12</v>
      </c>
    </row>
    <row r="16" spans="1:58" s="25" customFormat="1" ht="15" customHeight="1" x14ac:dyDescent="0.25">
      <c r="A16" s="38" t="s">
        <v>92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1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43"/>
      <c r="Y16" s="23"/>
      <c r="Z16" s="23"/>
      <c r="AA16" s="23"/>
      <c r="AB16" s="24">
        <f t="shared" si="2"/>
        <v>0</v>
      </c>
      <c r="AC16" s="24">
        <f t="shared" si="3"/>
        <v>0</v>
      </c>
      <c r="AD16" s="25">
        <v>2.52</v>
      </c>
      <c r="AE16" s="25">
        <f t="shared" si="4"/>
        <v>0</v>
      </c>
      <c r="AF16" s="25">
        <f t="shared" si="5"/>
        <v>0</v>
      </c>
      <c r="AG16" s="25">
        <f t="shared" si="6"/>
        <v>0</v>
      </c>
      <c r="AH16" s="25">
        <f t="shared" si="7"/>
        <v>0</v>
      </c>
      <c r="AI16" s="25">
        <f t="shared" si="8"/>
        <v>0</v>
      </c>
      <c r="AJ16" s="25">
        <f t="shared" si="9"/>
        <v>0</v>
      </c>
      <c r="AK16" s="25">
        <f t="shared" si="10"/>
        <v>0</v>
      </c>
      <c r="AL16" s="25">
        <f t="shared" si="11"/>
        <v>0</v>
      </c>
      <c r="AM16" s="25">
        <f t="shared" si="12"/>
        <v>0</v>
      </c>
      <c r="AN16" s="25">
        <f t="shared" si="13"/>
        <v>0</v>
      </c>
      <c r="AO16" s="25">
        <f t="shared" si="14"/>
        <v>0</v>
      </c>
      <c r="AP16" s="25">
        <f t="shared" si="15"/>
        <v>0</v>
      </c>
      <c r="AQ16" s="25">
        <f t="shared" si="16"/>
        <v>0</v>
      </c>
      <c r="AR16" s="25">
        <f t="shared" si="17"/>
        <v>0</v>
      </c>
      <c r="AS16" s="25">
        <f t="shared" si="18"/>
        <v>0</v>
      </c>
      <c r="AT16" s="25">
        <f t="shared" si="19"/>
        <v>0</v>
      </c>
      <c r="AU16" s="25">
        <f t="shared" si="20"/>
        <v>0</v>
      </c>
      <c r="AV16" s="25">
        <f t="shared" si="21"/>
        <v>0</v>
      </c>
      <c r="AW16" s="25">
        <f t="shared" si="22"/>
        <v>0</v>
      </c>
      <c r="AX16" s="25">
        <f t="shared" si="23"/>
        <v>0</v>
      </c>
      <c r="AY16" s="25">
        <f t="shared" si="24"/>
        <v>0</v>
      </c>
      <c r="AZ16" s="25">
        <f t="shared" si="25"/>
        <v>0</v>
      </c>
      <c r="BA16" s="25">
        <f t="shared" si="26"/>
        <v>0</v>
      </c>
      <c r="BB16" s="25">
        <f t="shared" si="27"/>
        <v>0</v>
      </c>
      <c r="BC16" s="25">
        <f t="shared" si="28"/>
        <v>0</v>
      </c>
      <c r="BD16" s="25">
        <f t="shared" si="29"/>
        <v>0</v>
      </c>
      <c r="BE16" s="25">
        <f t="shared" si="30"/>
        <v>0</v>
      </c>
      <c r="BF16" s="25">
        <f t="shared" si="31"/>
        <v>0</v>
      </c>
    </row>
    <row r="17" spans="1:58" s="25" customFormat="1" ht="15" customHeight="1" x14ac:dyDescent="0.25">
      <c r="A17" s="38" t="s">
        <v>93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1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43"/>
      <c r="Y17" s="23"/>
      <c r="Z17" s="23">
        <v>10</v>
      </c>
      <c r="AA17" s="23"/>
      <c r="AB17" s="24">
        <f t="shared" si="2"/>
        <v>10</v>
      </c>
      <c r="AC17" s="24">
        <f t="shared" si="3"/>
        <v>-10</v>
      </c>
      <c r="AD17" s="25">
        <v>3.36</v>
      </c>
      <c r="AE17" s="25">
        <f t="shared" si="4"/>
        <v>0</v>
      </c>
      <c r="AF17" s="25">
        <f t="shared" si="5"/>
        <v>0</v>
      </c>
      <c r="AG17" s="25">
        <f t="shared" si="6"/>
        <v>0</v>
      </c>
      <c r="AH17" s="25">
        <f t="shared" si="7"/>
        <v>0</v>
      </c>
      <c r="AI17" s="25">
        <f t="shared" si="8"/>
        <v>0</v>
      </c>
      <c r="AJ17" s="25">
        <f t="shared" si="9"/>
        <v>0</v>
      </c>
      <c r="AK17" s="25">
        <f t="shared" si="10"/>
        <v>0</v>
      </c>
      <c r="AL17" s="25">
        <f t="shared" si="11"/>
        <v>0</v>
      </c>
      <c r="AM17" s="25">
        <f t="shared" si="12"/>
        <v>0</v>
      </c>
      <c r="AN17" s="25">
        <f t="shared" si="13"/>
        <v>0</v>
      </c>
      <c r="AO17" s="25">
        <f t="shared" si="14"/>
        <v>0</v>
      </c>
      <c r="AP17" s="25">
        <f t="shared" si="15"/>
        <v>0</v>
      </c>
      <c r="AQ17" s="25">
        <f t="shared" si="16"/>
        <v>0</v>
      </c>
      <c r="AR17" s="25">
        <f t="shared" si="17"/>
        <v>0</v>
      </c>
      <c r="AS17" s="25">
        <f t="shared" si="18"/>
        <v>0</v>
      </c>
      <c r="AT17" s="25">
        <f t="shared" si="19"/>
        <v>0</v>
      </c>
      <c r="AU17" s="25">
        <f t="shared" si="20"/>
        <v>0</v>
      </c>
      <c r="AV17" s="25">
        <f t="shared" si="21"/>
        <v>0</v>
      </c>
      <c r="AW17" s="25">
        <f t="shared" si="22"/>
        <v>0</v>
      </c>
      <c r="AX17" s="25">
        <f t="shared" si="23"/>
        <v>0</v>
      </c>
      <c r="AY17" s="25">
        <f t="shared" si="24"/>
        <v>0</v>
      </c>
      <c r="AZ17" s="25">
        <f t="shared" si="25"/>
        <v>0</v>
      </c>
      <c r="BA17" s="25">
        <f t="shared" si="26"/>
        <v>0</v>
      </c>
      <c r="BB17" s="25">
        <f t="shared" si="27"/>
        <v>0</v>
      </c>
      <c r="BC17" s="25">
        <f t="shared" si="28"/>
        <v>33.6</v>
      </c>
      <c r="BD17" s="25">
        <f t="shared" si="29"/>
        <v>0</v>
      </c>
      <c r="BE17" s="25">
        <f t="shared" si="30"/>
        <v>33.6</v>
      </c>
      <c r="BF17" s="25">
        <f t="shared" si="31"/>
        <v>-33.6</v>
      </c>
    </row>
    <row r="18" spans="1:58" s="25" customFormat="1" ht="15" customHeight="1" x14ac:dyDescent="0.25">
      <c r="A18" s="38" t="s">
        <v>94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1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43"/>
      <c r="Y18" s="23"/>
      <c r="Z18" s="23"/>
      <c r="AA18" s="23"/>
      <c r="AB18" s="24">
        <f t="shared" si="2"/>
        <v>0</v>
      </c>
      <c r="AC18" s="24">
        <f t="shared" si="3"/>
        <v>0</v>
      </c>
      <c r="AD18" s="25">
        <v>4.2</v>
      </c>
      <c r="AE18" s="25">
        <f t="shared" si="4"/>
        <v>0</v>
      </c>
      <c r="AF18" s="25">
        <f t="shared" si="5"/>
        <v>0</v>
      </c>
      <c r="AG18" s="25">
        <f t="shared" si="6"/>
        <v>0</v>
      </c>
      <c r="AH18" s="25">
        <f t="shared" si="7"/>
        <v>0</v>
      </c>
      <c r="AI18" s="25">
        <f t="shared" si="8"/>
        <v>0</v>
      </c>
      <c r="AJ18" s="25">
        <f t="shared" si="9"/>
        <v>0</v>
      </c>
      <c r="AK18" s="25">
        <f t="shared" si="10"/>
        <v>0</v>
      </c>
      <c r="AL18" s="25">
        <f t="shared" si="11"/>
        <v>0</v>
      </c>
      <c r="AM18" s="25">
        <f t="shared" si="12"/>
        <v>0</v>
      </c>
      <c r="AN18" s="25">
        <f t="shared" si="13"/>
        <v>0</v>
      </c>
      <c r="AO18" s="25">
        <f t="shared" si="14"/>
        <v>0</v>
      </c>
      <c r="AP18" s="25">
        <f t="shared" si="15"/>
        <v>0</v>
      </c>
      <c r="AQ18" s="25">
        <f t="shared" si="16"/>
        <v>0</v>
      </c>
      <c r="AR18" s="25">
        <f t="shared" si="17"/>
        <v>0</v>
      </c>
      <c r="AS18" s="25">
        <f t="shared" si="18"/>
        <v>0</v>
      </c>
      <c r="AT18" s="25">
        <f t="shared" si="19"/>
        <v>0</v>
      </c>
      <c r="AU18" s="25">
        <f t="shared" si="20"/>
        <v>0</v>
      </c>
      <c r="AV18" s="25">
        <f t="shared" si="21"/>
        <v>0</v>
      </c>
      <c r="AW18" s="25">
        <f t="shared" si="22"/>
        <v>0</v>
      </c>
      <c r="AX18" s="25">
        <f t="shared" si="23"/>
        <v>0</v>
      </c>
      <c r="AY18" s="25">
        <f t="shared" si="24"/>
        <v>0</v>
      </c>
      <c r="AZ18" s="25">
        <f t="shared" si="25"/>
        <v>0</v>
      </c>
      <c r="BA18" s="25">
        <f t="shared" si="26"/>
        <v>0</v>
      </c>
      <c r="BB18" s="25">
        <f t="shared" si="27"/>
        <v>0</v>
      </c>
      <c r="BC18" s="25">
        <f t="shared" si="28"/>
        <v>0</v>
      </c>
      <c r="BD18" s="25">
        <f t="shared" si="29"/>
        <v>0</v>
      </c>
      <c r="BE18" s="25">
        <f t="shared" si="30"/>
        <v>0</v>
      </c>
      <c r="BF18" s="25">
        <f t="shared" si="31"/>
        <v>0</v>
      </c>
    </row>
    <row r="19" spans="1:58" s="25" customFormat="1" ht="15" customHeight="1" x14ac:dyDescent="0.25">
      <c r="A19" s="38" t="s">
        <v>95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1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43"/>
      <c r="Y19" s="23"/>
      <c r="Z19" s="23"/>
      <c r="AA19" s="23"/>
      <c r="AB19" s="24">
        <f t="shared" si="2"/>
        <v>0</v>
      </c>
      <c r="AC19" s="24">
        <f t="shared" si="3"/>
        <v>0</v>
      </c>
      <c r="AD19" s="25">
        <v>5.04</v>
      </c>
      <c r="AE19" s="25">
        <f t="shared" si="4"/>
        <v>0</v>
      </c>
      <c r="AF19" s="25">
        <f t="shared" si="5"/>
        <v>0</v>
      </c>
      <c r="AG19" s="25">
        <f t="shared" si="6"/>
        <v>0</v>
      </c>
      <c r="AH19" s="25">
        <f t="shared" si="7"/>
        <v>0</v>
      </c>
      <c r="AI19" s="25">
        <f t="shared" si="8"/>
        <v>0</v>
      </c>
      <c r="AJ19" s="25">
        <f t="shared" si="9"/>
        <v>0</v>
      </c>
      <c r="AK19" s="25">
        <f t="shared" si="10"/>
        <v>0</v>
      </c>
      <c r="AL19" s="25">
        <f t="shared" si="11"/>
        <v>0</v>
      </c>
      <c r="AM19" s="25">
        <f t="shared" si="12"/>
        <v>0</v>
      </c>
      <c r="AN19" s="25">
        <f t="shared" si="13"/>
        <v>0</v>
      </c>
      <c r="AO19" s="25">
        <f t="shared" si="14"/>
        <v>0</v>
      </c>
      <c r="AP19" s="25">
        <f t="shared" si="15"/>
        <v>0</v>
      </c>
      <c r="AQ19" s="25">
        <f t="shared" si="16"/>
        <v>0</v>
      </c>
      <c r="AR19" s="25">
        <f t="shared" si="17"/>
        <v>0</v>
      </c>
      <c r="AS19" s="25">
        <f t="shared" si="18"/>
        <v>0</v>
      </c>
      <c r="AT19" s="25">
        <f t="shared" si="19"/>
        <v>0</v>
      </c>
      <c r="AU19" s="25">
        <f t="shared" si="20"/>
        <v>0</v>
      </c>
      <c r="AV19" s="25">
        <f t="shared" si="21"/>
        <v>0</v>
      </c>
      <c r="AW19" s="25">
        <f t="shared" si="22"/>
        <v>0</v>
      </c>
      <c r="AX19" s="25">
        <f t="shared" si="23"/>
        <v>0</v>
      </c>
      <c r="AY19" s="25">
        <f t="shared" si="24"/>
        <v>0</v>
      </c>
      <c r="AZ19" s="25">
        <f t="shared" si="25"/>
        <v>0</v>
      </c>
      <c r="BA19" s="25">
        <f t="shared" si="26"/>
        <v>0</v>
      </c>
      <c r="BB19" s="25">
        <f t="shared" si="27"/>
        <v>0</v>
      </c>
      <c r="BC19" s="25">
        <f t="shared" si="28"/>
        <v>0</v>
      </c>
      <c r="BD19" s="25">
        <f t="shared" si="29"/>
        <v>0</v>
      </c>
      <c r="BE19" s="25">
        <f t="shared" si="30"/>
        <v>0</v>
      </c>
      <c r="BF19" s="25">
        <f t="shared" si="31"/>
        <v>0</v>
      </c>
    </row>
    <row r="20" spans="1:58" s="25" customFormat="1" ht="15" customHeight="1" x14ac:dyDescent="0.25">
      <c r="A20" s="38" t="s">
        <v>96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1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43"/>
      <c r="Y20" s="23"/>
      <c r="Z20" s="23"/>
      <c r="AA20" s="23"/>
      <c r="AB20" s="24">
        <f t="shared" si="2"/>
        <v>0</v>
      </c>
      <c r="AC20" s="24">
        <f t="shared" si="3"/>
        <v>0</v>
      </c>
      <c r="AD20" s="25">
        <v>3.22</v>
      </c>
      <c r="AE20" s="25">
        <f t="shared" si="4"/>
        <v>0</v>
      </c>
      <c r="AF20" s="25">
        <f t="shared" si="5"/>
        <v>0</v>
      </c>
      <c r="AG20" s="25">
        <f t="shared" si="6"/>
        <v>0</v>
      </c>
      <c r="AH20" s="25">
        <f t="shared" si="7"/>
        <v>0</v>
      </c>
      <c r="AI20" s="25">
        <f t="shared" si="8"/>
        <v>0</v>
      </c>
      <c r="AJ20" s="25">
        <f t="shared" si="9"/>
        <v>0</v>
      </c>
      <c r="AK20" s="25">
        <f t="shared" si="10"/>
        <v>0</v>
      </c>
      <c r="AL20" s="25">
        <f t="shared" si="11"/>
        <v>0</v>
      </c>
      <c r="AM20" s="25">
        <f t="shared" si="12"/>
        <v>0</v>
      </c>
      <c r="AN20" s="25">
        <f t="shared" si="13"/>
        <v>0</v>
      </c>
      <c r="AO20" s="25">
        <f t="shared" si="14"/>
        <v>0</v>
      </c>
      <c r="AP20" s="25">
        <f t="shared" si="15"/>
        <v>0</v>
      </c>
      <c r="AQ20" s="25">
        <f t="shared" si="16"/>
        <v>0</v>
      </c>
      <c r="AR20" s="25">
        <f t="shared" si="17"/>
        <v>0</v>
      </c>
      <c r="AS20" s="25">
        <f t="shared" si="18"/>
        <v>0</v>
      </c>
      <c r="AT20" s="25">
        <f t="shared" si="19"/>
        <v>0</v>
      </c>
      <c r="AU20" s="25">
        <f t="shared" si="20"/>
        <v>0</v>
      </c>
      <c r="AV20" s="25">
        <f t="shared" si="21"/>
        <v>0</v>
      </c>
      <c r="AW20" s="25">
        <f t="shared" si="22"/>
        <v>0</v>
      </c>
      <c r="AX20" s="25">
        <f t="shared" si="23"/>
        <v>0</v>
      </c>
      <c r="AY20" s="25">
        <f t="shared" si="24"/>
        <v>0</v>
      </c>
      <c r="AZ20" s="25">
        <f t="shared" si="25"/>
        <v>0</v>
      </c>
      <c r="BA20" s="25">
        <f t="shared" si="26"/>
        <v>0</v>
      </c>
      <c r="BB20" s="25">
        <f t="shared" si="27"/>
        <v>0</v>
      </c>
      <c r="BC20" s="25">
        <f t="shared" si="28"/>
        <v>0</v>
      </c>
      <c r="BD20" s="25">
        <f t="shared" si="29"/>
        <v>0</v>
      </c>
      <c r="BE20" s="25">
        <f t="shared" si="30"/>
        <v>0</v>
      </c>
      <c r="BF20" s="25">
        <f t="shared" si="31"/>
        <v>0</v>
      </c>
    </row>
    <row r="21" spans="1:58" s="25" customFormat="1" ht="15" customHeight="1" x14ac:dyDescent="0.25">
      <c r="A21" s="38" t="s">
        <v>97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1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43"/>
      <c r="Y21" s="23"/>
      <c r="Z21" s="23"/>
      <c r="AA21" s="23"/>
      <c r="AB21" s="24">
        <f t="shared" si="2"/>
        <v>0</v>
      </c>
      <c r="AC21" s="24">
        <f t="shared" si="3"/>
        <v>0</v>
      </c>
      <c r="AD21" s="25">
        <v>1.92</v>
      </c>
      <c r="AE21" s="25">
        <f t="shared" si="4"/>
        <v>0</v>
      </c>
      <c r="AF21" s="25">
        <f t="shared" si="5"/>
        <v>0</v>
      </c>
      <c r="AG21" s="25">
        <f t="shared" si="6"/>
        <v>0</v>
      </c>
      <c r="AH21" s="25">
        <f t="shared" si="7"/>
        <v>0</v>
      </c>
      <c r="AI21" s="25">
        <f t="shared" si="8"/>
        <v>0</v>
      </c>
      <c r="AJ21" s="25">
        <f t="shared" si="9"/>
        <v>0</v>
      </c>
      <c r="AK21" s="25">
        <f t="shared" si="10"/>
        <v>0</v>
      </c>
      <c r="AL21" s="25">
        <f t="shared" si="11"/>
        <v>0</v>
      </c>
      <c r="AM21" s="25">
        <f t="shared" si="12"/>
        <v>0</v>
      </c>
      <c r="AN21" s="25">
        <f t="shared" si="13"/>
        <v>0</v>
      </c>
      <c r="AO21" s="25">
        <f t="shared" si="14"/>
        <v>0</v>
      </c>
      <c r="AP21" s="25">
        <f t="shared" si="15"/>
        <v>0</v>
      </c>
      <c r="AQ21" s="25">
        <f t="shared" si="16"/>
        <v>0</v>
      </c>
      <c r="AR21" s="25">
        <f t="shared" si="17"/>
        <v>0</v>
      </c>
      <c r="AS21" s="25">
        <f t="shared" si="18"/>
        <v>0</v>
      </c>
      <c r="AT21" s="25">
        <f t="shared" si="19"/>
        <v>0</v>
      </c>
      <c r="AU21" s="25">
        <f t="shared" si="20"/>
        <v>0</v>
      </c>
      <c r="AV21" s="25">
        <f t="shared" si="21"/>
        <v>0</v>
      </c>
      <c r="AW21" s="25">
        <f t="shared" si="22"/>
        <v>0</v>
      </c>
      <c r="AX21" s="25">
        <f t="shared" si="23"/>
        <v>0</v>
      </c>
      <c r="AY21" s="25">
        <f t="shared" si="24"/>
        <v>0</v>
      </c>
      <c r="AZ21" s="25">
        <f t="shared" si="25"/>
        <v>0</v>
      </c>
      <c r="BA21" s="25">
        <f t="shared" si="26"/>
        <v>0</v>
      </c>
      <c r="BB21" s="25">
        <f t="shared" si="27"/>
        <v>0</v>
      </c>
      <c r="BC21" s="25">
        <f t="shared" si="28"/>
        <v>0</v>
      </c>
      <c r="BD21" s="25">
        <f t="shared" si="29"/>
        <v>0</v>
      </c>
      <c r="BE21" s="25">
        <f t="shared" si="30"/>
        <v>0</v>
      </c>
      <c r="BF21" s="25">
        <f t="shared" si="31"/>
        <v>0</v>
      </c>
    </row>
    <row r="22" spans="1:58" s="25" customFormat="1" ht="15" customHeight="1" x14ac:dyDescent="0.25">
      <c r="A22" s="38" t="s">
        <v>98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1"/>
        <v>90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43"/>
      <c r="Y22" s="23">
        <v>21</v>
      </c>
      <c r="Z22" s="23"/>
      <c r="AA22" s="23"/>
      <c r="AB22" s="24">
        <f t="shared" si="2"/>
        <v>239</v>
      </c>
      <c r="AC22" s="24">
        <f t="shared" si="3"/>
        <v>-149</v>
      </c>
      <c r="AD22" s="25">
        <v>1.92</v>
      </c>
      <c r="AE22" s="25">
        <f t="shared" si="4"/>
        <v>149.76</v>
      </c>
      <c r="AF22" s="25">
        <f t="shared" si="5"/>
        <v>0</v>
      </c>
      <c r="AG22" s="25">
        <f t="shared" si="6"/>
        <v>0</v>
      </c>
      <c r="AH22" s="25">
        <f t="shared" si="7"/>
        <v>0</v>
      </c>
      <c r="AI22" s="25">
        <f t="shared" si="8"/>
        <v>0</v>
      </c>
      <c r="AJ22" s="25">
        <f t="shared" si="9"/>
        <v>0</v>
      </c>
      <c r="AK22" s="25">
        <f t="shared" si="10"/>
        <v>23.04</v>
      </c>
      <c r="AL22" s="25">
        <f t="shared" si="11"/>
        <v>0</v>
      </c>
      <c r="AM22" s="25">
        <f t="shared" si="12"/>
        <v>172.79999999999998</v>
      </c>
      <c r="AN22" s="25">
        <f t="shared" si="13"/>
        <v>0</v>
      </c>
      <c r="AO22" s="25">
        <f t="shared" si="14"/>
        <v>0</v>
      </c>
      <c r="AP22" s="25">
        <f t="shared" si="15"/>
        <v>0</v>
      </c>
      <c r="AQ22" s="25">
        <f t="shared" si="16"/>
        <v>0</v>
      </c>
      <c r="AR22" s="25">
        <f t="shared" si="17"/>
        <v>0</v>
      </c>
      <c r="AS22" s="25">
        <f t="shared" si="18"/>
        <v>418.56</v>
      </c>
      <c r="AT22" s="25">
        <f t="shared" si="19"/>
        <v>0</v>
      </c>
      <c r="AU22" s="25">
        <f t="shared" si="20"/>
        <v>0</v>
      </c>
      <c r="AV22" s="25">
        <f t="shared" si="21"/>
        <v>0</v>
      </c>
      <c r="AW22" s="25">
        <f t="shared" si="22"/>
        <v>0</v>
      </c>
      <c r="AX22" s="25">
        <f t="shared" si="23"/>
        <v>0</v>
      </c>
      <c r="AY22" s="25">
        <f t="shared" si="24"/>
        <v>0</v>
      </c>
      <c r="AZ22" s="25">
        <f t="shared" si="25"/>
        <v>0</v>
      </c>
      <c r="BA22" s="25">
        <f t="shared" si="26"/>
        <v>0</v>
      </c>
      <c r="BB22" s="25">
        <f t="shared" si="27"/>
        <v>40.32</v>
      </c>
      <c r="BC22" s="25">
        <f t="shared" si="28"/>
        <v>0</v>
      </c>
      <c r="BD22" s="25">
        <f t="shared" si="29"/>
        <v>0</v>
      </c>
      <c r="BE22" s="25">
        <f t="shared" si="30"/>
        <v>458.88</v>
      </c>
      <c r="BF22" s="25">
        <f t="shared" si="31"/>
        <v>-286.08</v>
      </c>
    </row>
    <row r="23" spans="1:58" s="25" customFormat="1" ht="15" customHeight="1" x14ac:dyDescent="0.25">
      <c r="A23" s="38" t="s">
        <v>99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1"/>
        <v>46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43"/>
      <c r="Y23" s="23"/>
      <c r="Z23" s="23"/>
      <c r="AA23" s="23"/>
      <c r="AB23" s="24">
        <f t="shared" si="2"/>
        <v>0</v>
      </c>
      <c r="AC23" s="24">
        <f t="shared" si="3"/>
        <v>46</v>
      </c>
      <c r="AD23" s="25">
        <v>1.92</v>
      </c>
      <c r="AE23" s="25">
        <f t="shared" si="4"/>
        <v>1.92</v>
      </c>
      <c r="AF23" s="25">
        <f t="shared" si="5"/>
        <v>51.839999999999996</v>
      </c>
      <c r="AG23" s="25">
        <f t="shared" si="6"/>
        <v>0</v>
      </c>
      <c r="AH23" s="25">
        <f t="shared" si="7"/>
        <v>0</v>
      </c>
      <c r="AI23" s="25">
        <f t="shared" si="8"/>
        <v>0</v>
      </c>
      <c r="AJ23" s="25">
        <f t="shared" si="9"/>
        <v>0</v>
      </c>
      <c r="AK23" s="25">
        <f t="shared" si="10"/>
        <v>34.56</v>
      </c>
      <c r="AL23" s="25">
        <f t="shared" si="11"/>
        <v>0</v>
      </c>
      <c r="AM23" s="25">
        <f t="shared" si="12"/>
        <v>88.32</v>
      </c>
      <c r="AN23" s="25">
        <f t="shared" si="13"/>
        <v>0</v>
      </c>
      <c r="AO23" s="25">
        <f t="shared" si="14"/>
        <v>0</v>
      </c>
      <c r="AP23" s="25">
        <f t="shared" si="15"/>
        <v>0</v>
      </c>
      <c r="AQ23" s="25">
        <f t="shared" si="16"/>
        <v>0</v>
      </c>
      <c r="AR23" s="25">
        <f t="shared" si="17"/>
        <v>0</v>
      </c>
      <c r="AS23" s="25">
        <f t="shared" si="18"/>
        <v>0</v>
      </c>
      <c r="AT23" s="25">
        <f t="shared" si="19"/>
        <v>0</v>
      </c>
      <c r="AU23" s="25">
        <f t="shared" si="20"/>
        <v>0</v>
      </c>
      <c r="AV23" s="25">
        <f t="shared" si="21"/>
        <v>0</v>
      </c>
      <c r="AW23" s="25">
        <f t="shared" si="22"/>
        <v>0</v>
      </c>
      <c r="AX23" s="25">
        <f t="shared" si="23"/>
        <v>0</v>
      </c>
      <c r="AY23" s="25">
        <f t="shared" si="24"/>
        <v>0</v>
      </c>
      <c r="AZ23" s="25">
        <f t="shared" si="25"/>
        <v>0</v>
      </c>
      <c r="BA23" s="25">
        <f t="shared" si="26"/>
        <v>0</v>
      </c>
      <c r="BB23" s="25">
        <f t="shared" si="27"/>
        <v>0</v>
      </c>
      <c r="BC23" s="25">
        <f t="shared" si="28"/>
        <v>0</v>
      </c>
      <c r="BD23" s="25">
        <f t="shared" si="29"/>
        <v>0</v>
      </c>
      <c r="BE23" s="25">
        <f t="shared" si="30"/>
        <v>0</v>
      </c>
      <c r="BF23" s="25">
        <f t="shared" si="31"/>
        <v>88.32</v>
      </c>
    </row>
    <row r="24" spans="1:58" s="25" customFormat="1" ht="15" customHeight="1" x14ac:dyDescent="0.25">
      <c r="A24" s="38" t="s">
        <v>100</v>
      </c>
      <c r="B24" s="38">
        <v>1</v>
      </c>
      <c r="C24" s="27">
        <v>83</v>
      </c>
      <c r="D24" s="27">
        <v>1</v>
      </c>
      <c r="E24" s="20">
        <v>142</v>
      </c>
      <c r="F24" s="20">
        <v>184</v>
      </c>
      <c r="G24" s="20"/>
      <c r="H24" s="20"/>
      <c r="I24" s="20">
        <v>63</v>
      </c>
      <c r="J24" s="20">
        <f t="shared" si="1"/>
        <v>474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43"/>
      <c r="Y24" s="23"/>
      <c r="Z24" s="23"/>
      <c r="AA24" s="23"/>
      <c r="AB24" s="24">
        <f t="shared" si="2"/>
        <v>221</v>
      </c>
      <c r="AC24" s="24">
        <f t="shared" si="3"/>
        <v>253</v>
      </c>
      <c r="AD24" s="25">
        <v>2.8</v>
      </c>
      <c r="AE24" s="25">
        <f t="shared" si="4"/>
        <v>2.8</v>
      </c>
      <c r="AF24" s="25">
        <f t="shared" si="5"/>
        <v>232.39999999999998</v>
      </c>
      <c r="AG24" s="25">
        <f t="shared" si="6"/>
        <v>2.8</v>
      </c>
      <c r="AH24" s="25">
        <f t="shared" si="7"/>
        <v>397.59999999999997</v>
      </c>
      <c r="AI24" s="25">
        <f t="shared" si="8"/>
        <v>515.19999999999993</v>
      </c>
      <c r="AJ24" s="25">
        <f t="shared" si="9"/>
        <v>0</v>
      </c>
      <c r="AK24" s="25">
        <f t="shared" si="10"/>
        <v>0</v>
      </c>
      <c r="AL24" s="25">
        <f t="shared" si="11"/>
        <v>176.39999999999998</v>
      </c>
      <c r="AM24" s="25">
        <f t="shared" si="12"/>
        <v>1327.1999999999998</v>
      </c>
      <c r="AN24" s="25">
        <f t="shared" si="13"/>
        <v>0</v>
      </c>
      <c r="AO24" s="25">
        <f t="shared" si="14"/>
        <v>53.199999999999996</v>
      </c>
      <c r="AP24" s="25">
        <f t="shared" si="15"/>
        <v>0</v>
      </c>
      <c r="AQ24" s="25">
        <f t="shared" si="16"/>
        <v>0</v>
      </c>
      <c r="AR24" s="25">
        <f t="shared" si="17"/>
        <v>0</v>
      </c>
      <c r="AS24" s="25">
        <f t="shared" si="18"/>
        <v>515.19999999999993</v>
      </c>
      <c r="AT24" s="25">
        <f t="shared" si="19"/>
        <v>50.4</v>
      </c>
      <c r="AU24" s="25">
        <f t="shared" si="20"/>
        <v>0</v>
      </c>
      <c r="AV24" s="25">
        <f t="shared" si="21"/>
        <v>0</v>
      </c>
      <c r="AW24" s="25">
        <f t="shared" si="22"/>
        <v>0</v>
      </c>
      <c r="AX24" s="25">
        <f t="shared" si="23"/>
        <v>0</v>
      </c>
      <c r="AY24" s="25">
        <f t="shared" si="24"/>
        <v>0</v>
      </c>
      <c r="AZ24" s="25">
        <f t="shared" si="25"/>
        <v>0</v>
      </c>
      <c r="BA24" s="25">
        <f t="shared" si="26"/>
        <v>0</v>
      </c>
      <c r="BB24" s="25">
        <f t="shared" si="27"/>
        <v>0</v>
      </c>
      <c r="BC24" s="25">
        <f t="shared" si="28"/>
        <v>0</v>
      </c>
      <c r="BD24" s="25">
        <f t="shared" si="29"/>
        <v>0</v>
      </c>
      <c r="BE24" s="25">
        <f t="shared" si="30"/>
        <v>618.79999999999995</v>
      </c>
      <c r="BF24" s="25">
        <f t="shared" si="31"/>
        <v>708.4</v>
      </c>
    </row>
    <row r="25" spans="1:58" s="25" customFormat="1" ht="15" customHeight="1" x14ac:dyDescent="0.25">
      <c r="A25" s="38" t="s">
        <v>101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1"/>
        <v>56</v>
      </c>
      <c r="K25" s="21"/>
      <c r="L25" s="23"/>
      <c r="M25" s="23"/>
      <c r="N25" s="43"/>
      <c r="O25" s="43"/>
      <c r="P25" s="23"/>
      <c r="Q25" s="23"/>
      <c r="R25" s="23"/>
      <c r="S25" s="23">
        <v>56</v>
      </c>
      <c r="T25" s="23">
        <v>20</v>
      </c>
      <c r="U25" s="23"/>
      <c r="V25" s="23"/>
      <c r="W25" s="23"/>
      <c r="X25" s="43"/>
      <c r="Y25" s="23"/>
      <c r="Z25" s="23"/>
      <c r="AA25" s="23"/>
      <c r="AB25" s="24">
        <f t="shared" si="2"/>
        <v>76</v>
      </c>
      <c r="AC25" s="24">
        <f t="shared" si="3"/>
        <v>-20</v>
      </c>
      <c r="AD25" s="25">
        <v>3.2</v>
      </c>
      <c r="AE25" s="25">
        <f t="shared" si="4"/>
        <v>179.20000000000002</v>
      </c>
      <c r="AF25" s="25">
        <f t="shared" si="5"/>
        <v>0</v>
      </c>
      <c r="AG25" s="25">
        <f t="shared" si="6"/>
        <v>0</v>
      </c>
      <c r="AH25" s="25">
        <f t="shared" si="7"/>
        <v>0</v>
      </c>
      <c r="AI25" s="25">
        <f t="shared" si="8"/>
        <v>0</v>
      </c>
      <c r="AJ25" s="25">
        <f t="shared" si="9"/>
        <v>0</v>
      </c>
      <c r="AK25" s="25">
        <f t="shared" si="10"/>
        <v>0</v>
      </c>
      <c r="AL25" s="25">
        <f t="shared" si="11"/>
        <v>0</v>
      </c>
      <c r="AM25" s="25">
        <f t="shared" si="12"/>
        <v>179.20000000000002</v>
      </c>
      <c r="AN25" s="25">
        <f t="shared" si="13"/>
        <v>0</v>
      </c>
      <c r="AO25" s="25">
        <f t="shared" si="14"/>
        <v>0</v>
      </c>
      <c r="AP25" s="25">
        <f t="shared" si="15"/>
        <v>0</v>
      </c>
      <c r="AQ25" s="25">
        <f t="shared" si="16"/>
        <v>0</v>
      </c>
      <c r="AR25" s="25">
        <f t="shared" si="17"/>
        <v>0</v>
      </c>
      <c r="AS25" s="25">
        <f t="shared" si="18"/>
        <v>0</v>
      </c>
      <c r="AT25" s="25">
        <f t="shared" si="19"/>
        <v>0</v>
      </c>
      <c r="AU25" s="25">
        <f t="shared" si="20"/>
        <v>0</v>
      </c>
      <c r="AV25" s="25">
        <f t="shared" si="21"/>
        <v>179.20000000000002</v>
      </c>
      <c r="AW25" s="25">
        <f t="shared" si="22"/>
        <v>64</v>
      </c>
      <c r="AX25" s="25">
        <f t="shared" si="23"/>
        <v>0</v>
      </c>
      <c r="AY25" s="25">
        <f t="shared" si="24"/>
        <v>0</v>
      </c>
      <c r="AZ25" s="25">
        <f t="shared" si="25"/>
        <v>0</v>
      </c>
      <c r="BA25" s="25">
        <f t="shared" si="26"/>
        <v>0</v>
      </c>
      <c r="BB25" s="25">
        <f t="shared" si="27"/>
        <v>0</v>
      </c>
      <c r="BC25" s="25">
        <f t="shared" si="28"/>
        <v>0</v>
      </c>
      <c r="BD25" s="25">
        <f t="shared" si="29"/>
        <v>0</v>
      </c>
      <c r="BE25" s="25">
        <f t="shared" si="30"/>
        <v>243.20000000000002</v>
      </c>
      <c r="BF25" s="25">
        <f t="shared" si="31"/>
        <v>-64</v>
      </c>
    </row>
    <row r="26" spans="1:58" s="25" customFormat="1" ht="15" customHeight="1" x14ac:dyDescent="0.25">
      <c r="A26" s="38" t="s">
        <v>102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1"/>
        <v>708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/>
      <c r="S26" s="23">
        <v>216</v>
      </c>
      <c r="T26" s="23">
        <v>0</v>
      </c>
      <c r="U26" s="23"/>
      <c r="V26" s="23">
        <v>76</v>
      </c>
      <c r="W26" s="23">
        <v>64</v>
      </c>
      <c r="X26" s="43">
        <v>40</v>
      </c>
      <c r="Y26" s="23">
        <v>57</v>
      </c>
      <c r="Z26" s="23"/>
      <c r="AA26" s="23">
        <v>82</v>
      </c>
      <c r="AB26" s="24">
        <f t="shared" si="2"/>
        <v>632</v>
      </c>
      <c r="AC26" s="24">
        <f t="shared" si="3"/>
        <v>76</v>
      </c>
      <c r="AD26" s="25">
        <v>3.4</v>
      </c>
      <c r="AE26" s="25">
        <f t="shared" si="4"/>
        <v>819.4</v>
      </c>
      <c r="AF26" s="25">
        <f t="shared" si="5"/>
        <v>44.199999999999996</v>
      </c>
      <c r="AG26" s="25">
        <f t="shared" si="6"/>
        <v>10.199999999999999</v>
      </c>
      <c r="AH26" s="25">
        <f t="shared" si="7"/>
        <v>0</v>
      </c>
      <c r="AI26" s="25">
        <f t="shared" si="8"/>
        <v>856.8</v>
      </c>
      <c r="AJ26" s="25">
        <f t="shared" si="9"/>
        <v>122.39999999999999</v>
      </c>
      <c r="AK26" s="25">
        <f t="shared" si="10"/>
        <v>64.599999999999994</v>
      </c>
      <c r="AL26" s="25">
        <f t="shared" si="11"/>
        <v>489.59999999999997</v>
      </c>
      <c r="AM26" s="25">
        <f t="shared" si="12"/>
        <v>2407.1999999999998</v>
      </c>
      <c r="AN26" s="25">
        <f t="shared" si="13"/>
        <v>0</v>
      </c>
      <c r="AO26" s="25">
        <f t="shared" si="14"/>
        <v>34</v>
      </c>
      <c r="AP26" s="25">
        <f t="shared" si="15"/>
        <v>122.39999999999999</v>
      </c>
      <c r="AQ26" s="25">
        <f t="shared" si="16"/>
        <v>0</v>
      </c>
      <c r="AR26" s="25">
        <f t="shared" si="17"/>
        <v>20.399999999999999</v>
      </c>
      <c r="AS26" s="25">
        <f t="shared" si="18"/>
        <v>309.39999999999998</v>
      </c>
      <c r="AT26" s="25">
        <f t="shared" si="19"/>
        <v>0</v>
      </c>
      <c r="AU26" s="25">
        <f t="shared" si="20"/>
        <v>0</v>
      </c>
      <c r="AV26" s="25">
        <f t="shared" si="21"/>
        <v>734.4</v>
      </c>
      <c r="AW26" s="25">
        <f t="shared" si="22"/>
        <v>0</v>
      </c>
      <c r="AX26" s="25">
        <f t="shared" si="23"/>
        <v>0</v>
      </c>
      <c r="AY26" s="25">
        <f t="shared" si="24"/>
        <v>258.39999999999998</v>
      </c>
      <c r="AZ26" s="25">
        <f t="shared" si="25"/>
        <v>217.6</v>
      </c>
      <c r="BA26" s="25">
        <f t="shared" si="26"/>
        <v>136</v>
      </c>
      <c r="BB26" s="25">
        <f t="shared" si="27"/>
        <v>193.79999999999998</v>
      </c>
      <c r="BC26" s="25">
        <f t="shared" si="28"/>
        <v>0</v>
      </c>
      <c r="BD26" s="25">
        <f t="shared" si="29"/>
        <v>278.8</v>
      </c>
      <c r="BE26" s="25">
        <f t="shared" si="30"/>
        <v>2148.7999999999997</v>
      </c>
      <c r="BF26" s="25">
        <f t="shared" si="31"/>
        <v>258.39999999999998</v>
      </c>
    </row>
    <row r="27" spans="1:58" s="25" customFormat="1" ht="15" customHeight="1" x14ac:dyDescent="0.25">
      <c r="A27" s="38" t="s">
        <v>103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1"/>
        <v>311</v>
      </c>
      <c r="K27" s="21"/>
      <c r="L27" s="23"/>
      <c r="M27" s="23"/>
      <c r="N27" s="43"/>
      <c r="O27" s="43"/>
      <c r="P27" s="23"/>
      <c r="Q27" s="23"/>
      <c r="R27" s="23"/>
      <c r="S27" s="23"/>
      <c r="T27" s="23"/>
      <c r="U27" s="23"/>
      <c r="V27" s="23"/>
      <c r="W27" s="23"/>
      <c r="X27" s="43"/>
      <c r="Y27" s="23"/>
      <c r="Z27" s="23"/>
      <c r="AA27" s="23"/>
      <c r="AB27" s="24">
        <f t="shared" si="2"/>
        <v>0</v>
      </c>
      <c r="AC27" s="24">
        <f t="shared" si="3"/>
        <v>311</v>
      </c>
      <c r="AD27" s="25">
        <v>1.17</v>
      </c>
      <c r="AE27" s="25">
        <f t="shared" si="4"/>
        <v>69.03</v>
      </c>
      <c r="AF27" s="25">
        <f t="shared" si="5"/>
        <v>0</v>
      </c>
      <c r="AG27" s="25">
        <f t="shared" si="6"/>
        <v>0</v>
      </c>
      <c r="AH27" s="25">
        <f t="shared" si="7"/>
        <v>0</v>
      </c>
      <c r="AI27" s="25">
        <f t="shared" si="8"/>
        <v>0</v>
      </c>
      <c r="AJ27" s="25">
        <f t="shared" si="9"/>
        <v>0</v>
      </c>
      <c r="AK27" s="25">
        <f t="shared" si="10"/>
        <v>294.83999999999997</v>
      </c>
      <c r="AL27" s="25">
        <f t="shared" si="11"/>
        <v>0</v>
      </c>
      <c r="AM27" s="25">
        <f t="shared" si="12"/>
        <v>363.87</v>
      </c>
      <c r="AN27" s="25">
        <f t="shared" si="13"/>
        <v>0</v>
      </c>
      <c r="AO27" s="25">
        <f t="shared" si="14"/>
        <v>0</v>
      </c>
      <c r="AP27" s="25">
        <f t="shared" si="15"/>
        <v>0</v>
      </c>
      <c r="AQ27" s="25">
        <f t="shared" si="16"/>
        <v>0</v>
      </c>
      <c r="AR27" s="25">
        <f t="shared" si="17"/>
        <v>0</v>
      </c>
      <c r="AS27" s="25">
        <f t="shared" si="18"/>
        <v>0</v>
      </c>
      <c r="AT27" s="25">
        <f t="shared" si="19"/>
        <v>0</v>
      </c>
      <c r="AU27" s="25">
        <f t="shared" si="20"/>
        <v>0</v>
      </c>
      <c r="AV27" s="25">
        <f t="shared" si="21"/>
        <v>0</v>
      </c>
      <c r="AW27" s="25">
        <f t="shared" si="22"/>
        <v>0</v>
      </c>
      <c r="AX27" s="25">
        <f t="shared" si="23"/>
        <v>0</v>
      </c>
      <c r="AY27" s="25">
        <f t="shared" si="24"/>
        <v>0</v>
      </c>
      <c r="AZ27" s="25">
        <f t="shared" si="25"/>
        <v>0</v>
      </c>
      <c r="BA27" s="25">
        <f t="shared" si="26"/>
        <v>0</v>
      </c>
      <c r="BB27" s="25">
        <f t="shared" si="27"/>
        <v>0</v>
      </c>
      <c r="BC27" s="25">
        <f t="shared" si="28"/>
        <v>0</v>
      </c>
      <c r="BD27" s="25">
        <f t="shared" si="29"/>
        <v>0</v>
      </c>
      <c r="BE27" s="25">
        <f t="shared" si="30"/>
        <v>0</v>
      </c>
      <c r="BF27" s="25">
        <f t="shared" si="31"/>
        <v>363.87</v>
      </c>
    </row>
    <row r="28" spans="1:58" s="25" customFormat="1" ht="15" customHeight="1" x14ac:dyDescent="0.25">
      <c r="A28" s="38" t="s">
        <v>104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ref="J28:J44" si="32">B28+E28+F28+G28+H28+I28+C28+D28</f>
        <v>1322</v>
      </c>
      <c r="K28" s="21"/>
      <c r="L28" s="23">
        <v>10</v>
      </c>
      <c r="M28" s="23">
        <v>76</v>
      </c>
      <c r="N28" s="43"/>
      <c r="O28" s="43"/>
      <c r="P28" s="23"/>
      <c r="Q28" s="23"/>
      <c r="R28" s="23"/>
      <c r="S28" s="23">
        <v>156</v>
      </c>
      <c r="T28" s="23">
        <v>330</v>
      </c>
      <c r="U28" s="23"/>
      <c r="V28" s="23"/>
      <c r="W28" s="23">
        <v>24</v>
      </c>
      <c r="X28" s="43"/>
      <c r="Y28" s="23"/>
      <c r="Z28" s="23"/>
      <c r="AA28" s="23">
        <v>28</v>
      </c>
      <c r="AB28" s="24">
        <f t="shared" si="2"/>
        <v>624</v>
      </c>
      <c r="AC28" s="24">
        <f t="shared" si="3"/>
        <v>698</v>
      </c>
      <c r="AD28" s="25">
        <v>1.17</v>
      </c>
      <c r="AE28" s="25">
        <f t="shared" si="4"/>
        <v>0</v>
      </c>
      <c r="AF28" s="25">
        <f t="shared" si="5"/>
        <v>955.89</v>
      </c>
      <c r="AG28" s="25">
        <f t="shared" si="6"/>
        <v>0</v>
      </c>
      <c r="AH28" s="25">
        <f t="shared" si="7"/>
        <v>0</v>
      </c>
      <c r="AI28" s="25">
        <f t="shared" si="8"/>
        <v>58.5</v>
      </c>
      <c r="AJ28" s="25">
        <f t="shared" si="9"/>
        <v>292.5</v>
      </c>
      <c r="AK28" s="25">
        <f t="shared" si="10"/>
        <v>238.67999999999998</v>
      </c>
      <c r="AL28" s="25">
        <f t="shared" si="11"/>
        <v>1.17</v>
      </c>
      <c r="AM28" s="25">
        <f t="shared" si="12"/>
        <v>1546.74</v>
      </c>
      <c r="AN28" s="25">
        <f t="shared" si="13"/>
        <v>0</v>
      </c>
      <c r="AO28" s="25">
        <f t="shared" si="14"/>
        <v>11.7</v>
      </c>
      <c r="AP28" s="25">
        <f t="shared" si="15"/>
        <v>88.919999999999987</v>
      </c>
      <c r="AQ28" s="25">
        <f t="shared" si="16"/>
        <v>0</v>
      </c>
      <c r="AR28" s="25">
        <f t="shared" si="17"/>
        <v>0</v>
      </c>
      <c r="AS28" s="25">
        <f t="shared" si="18"/>
        <v>0</v>
      </c>
      <c r="AT28" s="25">
        <f t="shared" si="19"/>
        <v>0</v>
      </c>
      <c r="AU28" s="25">
        <f t="shared" si="20"/>
        <v>0</v>
      </c>
      <c r="AV28" s="25">
        <f t="shared" si="21"/>
        <v>182.51999999999998</v>
      </c>
      <c r="AW28" s="25">
        <f t="shared" si="22"/>
        <v>386.09999999999997</v>
      </c>
      <c r="AX28" s="25">
        <f t="shared" si="23"/>
        <v>0</v>
      </c>
      <c r="AY28" s="25">
        <f t="shared" si="24"/>
        <v>0</v>
      </c>
      <c r="AZ28" s="25">
        <f t="shared" si="25"/>
        <v>28.08</v>
      </c>
      <c r="BA28" s="25">
        <f t="shared" si="26"/>
        <v>0</v>
      </c>
      <c r="BB28" s="25">
        <f t="shared" si="27"/>
        <v>0</v>
      </c>
      <c r="BC28" s="25">
        <f t="shared" si="28"/>
        <v>0</v>
      </c>
      <c r="BD28" s="25">
        <f t="shared" si="29"/>
        <v>32.76</v>
      </c>
      <c r="BE28" s="25">
        <f t="shared" si="30"/>
        <v>730.07999999999993</v>
      </c>
      <c r="BF28" s="25">
        <f t="shared" si="31"/>
        <v>816.66</v>
      </c>
    </row>
    <row r="29" spans="1:58" s="25" customFormat="1" ht="15" customHeight="1" x14ac:dyDescent="0.25">
      <c r="A29" s="38" t="s">
        <v>105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32"/>
        <v>72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43"/>
      <c r="Y29" s="23">
        <v>10</v>
      </c>
      <c r="Z29" s="23"/>
      <c r="AA29" s="23"/>
      <c r="AB29" s="24">
        <f t="shared" si="2"/>
        <v>10</v>
      </c>
      <c r="AC29" s="24">
        <f t="shared" si="3"/>
        <v>62</v>
      </c>
      <c r="AD29" s="25">
        <v>1.34</v>
      </c>
      <c r="AE29" s="25">
        <f t="shared" si="4"/>
        <v>0</v>
      </c>
      <c r="AF29" s="25">
        <f t="shared" si="5"/>
        <v>0</v>
      </c>
      <c r="AG29" s="25">
        <f t="shared" si="6"/>
        <v>0</v>
      </c>
      <c r="AH29" s="25">
        <f t="shared" si="7"/>
        <v>0</v>
      </c>
      <c r="AI29" s="25">
        <f t="shared" si="8"/>
        <v>80.400000000000006</v>
      </c>
      <c r="AJ29" s="25">
        <f t="shared" si="9"/>
        <v>0</v>
      </c>
      <c r="AK29" s="25">
        <f t="shared" si="10"/>
        <v>0</v>
      </c>
      <c r="AL29" s="25">
        <f t="shared" si="11"/>
        <v>16.080000000000002</v>
      </c>
      <c r="AM29" s="25">
        <f t="shared" si="12"/>
        <v>96.48</v>
      </c>
      <c r="AN29" s="25">
        <f t="shared" si="13"/>
        <v>0</v>
      </c>
      <c r="AO29" s="25">
        <f t="shared" si="14"/>
        <v>0</v>
      </c>
      <c r="AP29" s="25">
        <f t="shared" si="15"/>
        <v>0</v>
      </c>
      <c r="AQ29" s="25">
        <f t="shared" si="16"/>
        <v>0</v>
      </c>
      <c r="AR29" s="25">
        <f t="shared" si="17"/>
        <v>42.88</v>
      </c>
      <c r="AS29" s="25">
        <f t="shared" si="18"/>
        <v>0</v>
      </c>
      <c r="AT29" s="25">
        <f t="shared" si="19"/>
        <v>0</v>
      </c>
      <c r="AU29" s="25">
        <f t="shared" si="20"/>
        <v>0</v>
      </c>
      <c r="AV29" s="25">
        <f t="shared" si="21"/>
        <v>0</v>
      </c>
      <c r="AW29" s="25">
        <f t="shared" si="22"/>
        <v>0</v>
      </c>
      <c r="AX29" s="25">
        <f t="shared" si="23"/>
        <v>0</v>
      </c>
      <c r="AY29" s="25">
        <f t="shared" si="24"/>
        <v>0</v>
      </c>
      <c r="AZ29" s="25">
        <f t="shared" si="25"/>
        <v>0</v>
      </c>
      <c r="BA29" s="25">
        <f t="shared" si="26"/>
        <v>0</v>
      </c>
      <c r="BB29" s="25">
        <f t="shared" si="27"/>
        <v>13.4</v>
      </c>
      <c r="BC29" s="25">
        <f t="shared" si="28"/>
        <v>0</v>
      </c>
      <c r="BD29" s="25">
        <f t="shared" si="29"/>
        <v>0</v>
      </c>
      <c r="BE29" s="25">
        <f t="shared" si="30"/>
        <v>13.4</v>
      </c>
      <c r="BF29" s="25">
        <f t="shared" si="31"/>
        <v>83.08</v>
      </c>
    </row>
    <row r="30" spans="1:58" s="25" customFormat="1" ht="15" customHeight="1" x14ac:dyDescent="0.25">
      <c r="A30" s="38" t="s">
        <v>106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32"/>
        <v>172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43"/>
      <c r="Y30" s="23"/>
      <c r="Z30" s="23"/>
      <c r="AA30" s="23"/>
      <c r="AB30" s="24">
        <f t="shared" si="2"/>
        <v>0</v>
      </c>
      <c r="AC30" s="24">
        <f t="shared" si="3"/>
        <v>172</v>
      </c>
      <c r="AD30" s="25">
        <v>1.34</v>
      </c>
      <c r="AE30" s="25">
        <f t="shared" si="4"/>
        <v>0</v>
      </c>
      <c r="AF30" s="25">
        <f t="shared" si="5"/>
        <v>0</v>
      </c>
      <c r="AG30" s="25">
        <f t="shared" si="6"/>
        <v>0</v>
      </c>
      <c r="AH30" s="25">
        <f t="shared" si="7"/>
        <v>0</v>
      </c>
      <c r="AI30" s="25">
        <f t="shared" si="8"/>
        <v>163.48000000000002</v>
      </c>
      <c r="AJ30" s="25">
        <f t="shared" si="9"/>
        <v>0</v>
      </c>
      <c r="AK30" s="25">
        <f t="shared" si="10"/>
        <v>0</v>
      </c>
      <c r="AL30" s="25">
        <f t="shared" si="11"/>
        <v>67</v>
      </c>
      <c r="AM30" s="25">
        <f t="shared" si="12"/>
        <v>230.48000000000002</v>
      </c>
      <c r="AN30" s="25">
        <f t="shared" si="13"/>
        <v>0</v>
      </c>
      <c r="AO30" s="25">
        <f t="shared" si="14"/>
        <v>0</v>
      </c>
      <c r="AP30" s="25">
        <f t="shared" si="15"/>
        <v>0</v>
      </c>
      <c r="AQ30" s="25">
        <f t="shared" si="16"/>
        <v>0</v>
      </c>
      <c r="AR30" s="25">
        <f t="shared" si="17"/>
        <v>0</v>
      </c>
      <c r="AS30" s="25">
        <f t="shared" si="18"/>
        <v>0</v>
      </c>
      <c r="AT30" s="25">
        <f t="shared" si="19"/>
        <v>0</v>
      </c>
      <c r="AU30" s="25">
        <f t="shared" si="20"/>
        <v>0</v>
      </c>
      <c r="AV30" s="25">
        <f t="shared" si="21"/>
        <v>0</v>
      </c>
      <c r="AW30" s="25">
        <f t="shared" si="22"/>
        <v>0</v>
      </c>
      <c r="AX30" s="25">
        <f t="shared" si="23"/>
        <v>0</v>
      </c>
      <c r="AY30" s="25">
        <f t="shared" si="24"/>
        <v>0</v>
      </c>
      <c r="AZ30" s="25">
        <f t="shared" si="25"/>
        <v>0</v>
      </c>
      <c r="BA30" s="25">
        <f t="shared" si="26"/>
        <v>0</v>
      </c>
      <c r="BB30" s="25">
        <f t="shared" si="27"/>
        <v>0</v>
      </c>
      <c r="BC30" s="25">
        <f t="shared" si="28"/>
        <v>0</v>
      </c>
      <c r="BD30" s="25">
        <f t="shared" si="29"/>
        <v>0</v>
      </c>
      <c r="BE30" s="25">
        <f t="shared" si="30"/>
        <v>0</v>
      </c>
      <c r="BF30" s="25">
        <f t="shared" si="31"/>
        <v>230.48000000000002</v>
      </c>
    </row>
    <row r="31" spans="1:58" s="25" customFormat="1" ht="15" customHeight="1" x14ac:dyDescent="0.25">
      <c r="A31" s="38" t="s">
        <v>107</v>
      </c>
      <c r="B31" s="38">
        <v>29</v>
      </c>
      <c r="C31" s="27">
        <v>203</v>
      </c>
      <c r="D31" s="27">
        <v>2</v>
      </c>
      <c r="E31" s="20">
        <v>100</v>
      </c>
      <c r="F31" s="20">
        <v>84</v>
      </c>
      <c r="G31" s="20">
        <v>48</v>
      </c>
      <c r="H31" s="20"/>
      <c r="I31" s="20">
        <v>2</v>
      </c>
      <c r="J31" s="20">
        <f t="shared" si="32"/>
        <v>468</v>
      </c>
      <c r="K31" s="21"/>
      <c r="L31" s="23">
        <v>60</v>
      </c>
      <c r="M31" s="23"/>
      <c r="N31" s="43"/>
      <c r="O31" s="43"/>
      <c r="P31" s="23"/>
      <c r="Q31" s="23"/>
      <c r="R31" s="23"/>
      <c r="S31" s="23"/>
      <c r="T31" s="23">
        <v>50</v>
      </c>
      <c r="U31" s="23"/>
      <c r="V31" s="23"/>
      <c r="W31" s="23"/>
      <c r="X31" s="43"/>
      <c r="Y31" s="23"/>
      <c r="Z31" s="23"/>
      <c r="AA31" s="23"/>
      <c r="AB31" s="24">
        <f t="shared" si="2"/>
        <v>110</v>
      </c>
      <c r="AC31" s="24">
        <f t="shared" si="3"/>
        <v>358</v>
      </c>
      <c r="AD31" s="25">
        <v>1.22</v>
      </c>
      <c r="AE31" s="25">
        <f t="shared" si="4"/>
        <v>35.380000000000003</v>
      </c>
      <c r="AF31" s="25">
        <f t="shared" si="5"/>
        <v>247.66</v>
      </c>
      <c r="AG31" s="25">
        <f t="shared" si="6"/>
        <v>2.44</v>
      </c>
      <c r="AH31" s="25">
        <f t="shared" si="7"/>
        <v>122</v>
      </c>
      <c r="AI31" s="25">
        <f t="shared" si="8"/>
        <v>102.48</v>
      </c>
      <c r="AJ31" s="25">
        <f t="shared" si="9"/>
        <v>58.56</v>
      </c>
      <c r="AK31" s="25">
        <f t="shared" si="10"/>
        <v>0</v>
      </c>
      <c r="AL31" s="25">
        <f t="shared" si="11"/>
        <v>2.44</v>
      </c>
      <c r="AM31" s="25">
        <f t="shared" si="12"/>
        <v>570.96</v>
      </c>
      <c r="AN31" s="25">
        <f t="shared" si="13"/>
        <v>0</v>
      </c>
      <c r="AO31" s="25">
        <f t="shared" si="14"/>
        <v>73.2</v>
      </c>
      <c r="AP31" s="25">
        <f t="shared" si="15"/>
        <v>0</v>
      </c>
      <c r="AQ31" s="25">
        <f t="shared" si="16"/>
        <v>0</v>
      </c>
      <c r="AR31" s="25">
        <f t="shared" si="17"/>
        <v>0</v>
      </c>
      <c r="AS31" s="25">
        <f t="shared" si="18"/>
        <v>0</v>
      </c>
      <c r="AT31" s="25">
        <f t="shared" si="19"/>
        <v>0</v>
      </c>
      <c r="AU31" s="25">
        <f t="shared" si="20"/>
        <v>0</v>
      </c>
      <c r="AV31" s="25">
        <f t="shared" si="21"/>
        <v>0</v>
      </c>
      <c r="AW31" s="25">
        <f t="shared" si="22"/>
        <v>61</v>
      </c>
      <c r="AX31" s="25">
        <f t="shared" si="23"/>
        <v>0</v>
      </c>
      <c r="AY31" s="25">
        <f t="shared" si="24"/>
        <v>0</v>
      </c>
      <c r="AZ31" s="25">
        <f t="shared" si="25"/>
        <v>0</v>
      </c>
      <c r="BA31" s="25">
        <f t="shared" si="26"/>
        <v>0</v>
      </c>
      <c r="BB31" s="25">
        <f t="shared" si="27"/>
        <v>0</v>
      </c>
      <c r="BC31" s="25">
        <f t="shared" si="28"/>
        <v>0</v>
      </c>
      <c r="BD31" s="25">
        <f t="shared" si="29"/>
        <v>0</v>
      </c>
      <c r="BE31" s="25">
        <f t="shared" si="30"/>
        <v>134.19999999999999</v>
      </c>
      <c r="BF31" s="25">
        <f t="shared" si="31"/>
        <v>436.76</v>
      </c>
    </row>
    <row r="32" spans="1:58" s="25" customFormat="1" ht="15" customHeight="1" x14ac:dyDescent="0.25">
      <c r="A32" s="38" t="s">
        <v>108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32"/>
        <v>75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43"/>
      <c r="Y32" s="23"/>
      <c r="Z32" s="23"/>
      <c r="AA32" s="23"/>
      <c r="AB32" s="24">
        <f t="shared" si="2"/>
        <v>0</v>
      </c>
      <c r="AC32" s="24">
        <f t="shared" si="3"/>
        <v>75</v>
      </c>
      <c r="AD32" s="25">
        <v>1.37</v>
      </c>
      <c r="AE32" s="25">
        <f t="shared" si="4"/>
        <v>5.48</v>
      </c>
      <c r="AF32" s="25">
        <f t="shared" si="5"/>
        <v>41.1</v>
      </c>
      <c r="AG32" s="25">
        <f t="shared" si="6"/>
        <v>0</v>
      </c>
      <c r="AH32" s="25">
        <f t="shared" si="7"/>
        <v>0</v>
      </c>
      <c r="AI32" s="25">
        <f t="shared" si="8"/>
        <v>54.800000000000004</v>
      </c>
      <c r="AJ32" s="25">
        <f t="shared" si="9"/>
        <v>1.37</v>
      </c>
      <c r="AK32" s="25">
        <f t="shared" si="10"/>
        <v>0</v>
      </c>
      <c r="AL32" s="25">
        <f t="shared" si="11"/>
        <v>0</v>
      </c>
      <c r="AM32" s="25">
        <f t="shared" si="12"/>
        <v>102.75000000000001</v>
      </c>
      <c r="AN32" s="25">
        <f t="shared" si="13"/>
        <v>0</v>
      </c>
      <c r="AO32" s="25">
        <f t="shared" si="14"/>
        <v>0</v>
      </c>
      <c r="AP32" s="25">
        <f t="shared" si="15"/>
        <v>0</v>
      </c>
      <c r="AQ32" s="25">
        <f t="shared" si="16"/>
        <v>0</v>
      </c>
      <c r="AR32" s="25">
        <f t="shared" si="17"/>
        <v>13.700000000000001</v>
      </c>
      <c r="AS32" s="25">
        <f t="shared" si="18"/>
        <v>0</v>
      </c>
      <c r="AT32" s="25">
        <f t="shared" si="19"/>
        <v>0</v>
      </c>
      <c r="AU32" s="25">
        <f t="shared" si="20"/>
        <v>0</v>
      </c>
      <c r="AV32" s="25">
        <f t="shared" si="21"/>
        <v>0</v>
      </c>
      <c r="AW32" s="25">
        <f t="shared" si="22"/>
        <v>0</v>
      </c>
      <c r="AX32" s="25">
        <f t="shared" si="23"/>
        <v>0</v>
      </c>
      <c r="AY32" s="25">
        <f t="shared" si="24"/>
        <v>0</v>
      </c>
      <c r="AZ32" s="25">
        <f t="shared" si="25"/>
        <v>0</v>
      </c>
      <c r="BA32" s="25">
        <f t="shared" si="26"/>
        <v>0</v>
      </c>
      <c r="BB32" s="25">
        <f t="shared" si="27"/>
        <v>0</v>
      </c>
      <c r="BC32" s="25">
        <f t="shared" si="28"/>
        <v>0</v>
      </c>
      <c r="BD32" s="25">
        <f t="shared" si="29"/>
        <v>0</v>
      </c>
      <c r="BE32" s="25">
        <f t="shared" si="30"/>
        <v>0</v>
      </c>
      <c r="BF32" s="25">
        <f t="shared" si="31"/>
        <v>102.75000000000001</v>
      </c>
    </row>
    <row r="33" spans="1:58" s="25" customFormat="1" ht="15" customHeight="1" x14ac:dyDescent="0.25">
      <c r="A33" s="38" t="s">
        <v>109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32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43"/>
      <c r="Y33" s="23"/>
      <c r="Z33" s="23"/>
      <c r="AA33" s="23"/>
      <c r="AB33" s="24">
        <f t="shared" si="2"/>
        <v>0</v>
      </c>
      <c r="AC33" s="24">
        <f t="shared" si="3"/>
        <v>0</v>
      </c>
      <c r="AD33" s="25">
        <v>14.45</v>
      </c>
      <c r="AE33" s="25">
        <f t="shared" si="4"/>
        <v>0</v>
      </c>
      <c r="AF33" s="25">
        <f t="shared" si="5"/>
        <v>0</v>
      </c>
      <c r="AG33" s="25">
        <f t="shared" si="6"/>
        <v>0</v>
      </c>
      <c r="AH33" s="25">
        <f t="shared" si="7"/>
        <v>0</v>
      </c>
      <c r="AI33" s="25">
        <f t="shared" si="8"/>
        <v>0</v>
      </c>
      <c r="AJ33" s="25">
        <f t="shared" si="9"/>
        <v>0</v>
      </c>
      <c r="AK33" s="25">
        <f t="shared" si="10"/>
        <v>0</v>
      </c>
      <c r="AL33" s="25">
        <f t="shared" si="11"/>
        <v>0</v>
      </c>
      <c r="AM33" s="25">
        <f t="shared" si="12"/>
        <v>0</v>
      </c>
      <c r="AN33" s="25">
        <f t="shared" si="13"/>
        <v>0</v>
      </c>
      <c r="AO33" s="25">
        <f t="shared" si="14"/>
        <v>0</v>
      </c>
      <c r="AP33" s="25">
        <f t="shared" si="15"/>
        <v>0</v>
      </c>
      <c r="AQ33" s="25">
        <f t="shared" si="16"/>
        <v>0</v>
      </c>
      <c r="AR33" s="25">
        <f t="shared" si="17"/>
        <v>0</v>
      </c>
      <c r="AS33" s="25">
        <f t="shared" si="18"/>
        <v>0</v>
      </c>
      <c r="AT33" s="25">
        <f t="shared" si="19"/>
        <v>0</v>
      </c>
      <c r="AU33" s="25">
        <f t="shared" si="20"/>
        <v>0</v>
      </c>
      <c r="AV33" s="25">
        <f t="shared" si="21"/>
        <v>0</v>
      </c>
      <c r="AW33" s="25">
        <f t="shared" si="22"/>
        <v>0</v>
      </c>
      <c r="AX33" s="25">
        <f t="shared" si="23"/>
        <v>0</v>
      </c>
      <c r="AY33" s="25">
        <f t="shared" si="24"/>
        <v>0</v>
      </c>
      <c r="AZ33" s="25">
        <f t="shared" si="25"/>
        <v>0</v>
      </c>
      <c r="BA33" s="25">
        <f t="shared" si="26"/>
        <v>0</v>
      </c>
      <c r="BB33" s="25">
        <f t="shared" si="27"/>
        <v>0</v>
      </c>
      <c r="BC33" s="25">
        <f t="shared" si="28"/>
        <v>0</v>
      </c>
      <c r="BD33" s="25">
        <f t="shared" si="29"/>
        <v>0</v>
      </c>
      <c r="BE33" s="25">
        <f t="shared" si="30"/>
        <v>0</v>
      </c>
      <c r="BF33" s="25">
        <f t="shared" si="31"/>
        <v>0</v>
      </c>
    </row>
    <row r="34" spans="1:58" s="25" customFormat="1" ht="15" customHeight="1" x14ac:dyDescent="0.25">
      <c r="A34" s="38" t="s">
        <v>110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32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43"/>
      <c r="Y34" s="23"/>
      <c r="Z34" s="23"/>
      <c r="AA34" s="23"/>
      <c r="AB34" s="24">
        <f t="shared" si="2"/>
        <v>0</v>
      </c>
      <c r="AC34" s="24">
        <f t="shared" si="3"/>
        <v>0</v>
      </c>
      <c r="AD34" s="25">
        <v>33</v>
      </c>
      <c r="AE34" s="25">
        <f t="shared" si="4"/>
        <v>0</v>
      </c>
      <c r="AF34" s="25">
        <f t="shared" si="5"/>
        <v>0</v>
      </c>
      <c r="AG34" s="25">
        <f t="shared" si="6"/>
        <v>0</v>
      </c>
      <c r="AH34" s="25">
        <f t="shared" si="7"/>
        <v>0</v>
      </c>
      <c r="AI34" s="25">
        <f t="shared" si="8"/>
        <v>0</v>
      </c>
      <c r="AJ34" s="25">
        <f t="shared" si="9"/>
        <v>0</v>
      </c>
      <c r="AK34" s="25">
        <f t="shared" si="10"/>
        <v>0</v>
      </c>
      <c r="AL34" s="25">
        <f t="shared" si="11"/>
        <v>0</v>
      </c>
      <c r="AM34" s="25">
        <f t="shared" si="12"/>
        <v>0</v>
      </c>
      <c r="AN34" s="25">
        <f t="shared" si="13"/>
        <v>0</v>
      </c>
      <c r="AO34" s="25">
        <f t="shared" si="14"/>
        <v>0</v>
      </c>
      <c r="AP34" s="25">
        <f t="shared" si="15"/>
        <v>0</v>
      </c>
      <c r="AQ34" s="25">
        <f t="shared" si="16"/>
        <v>0</v>
      </c>
      <c r="AR34" s="25">
        <f t="shared" si="17"/>
        <v>0</v>
      </c>
      <c r="AS34" s="25">
        <f t="shared" si="18"/>
        <v>0</v>
      </c>
      <c r="AT34" s="25">
        <f t="shared" si="19"/>
        <v>0</v>
      </c>
      <c r="AU34" s="25">
        <f t="shared" si="20"/>
        <v>0</v>
      </c>
      <c r="AV34" s="25">
        <f t="shared" si="21"/>
        <v>0</v>
      </c>
      <c r="AW34" s="25">
        <f t="shared" si="22"/>
        <v>0</v>
      </c>
      <c r="AX34" s="25">
        <f t="shared" si="23"/>
        <v>0</v>
      </c>
      <c r="AY34" s="25">
        <f t="shared" si="24"/>
        <v>0</v>
      </c>
      <c r="AZ34" s="25">
        <f t="shared" si="25"/>
        <v>0</v>
      </c>
      <c r="BA34" s="25">
        <f t="shared" si="26"/>
        <v>0</v>
      </c>
      <c r="BB34" s="25">
        <f t="shared" si="27"/>
        <v>0</v>
      </c>
      <c r="BC34" s="25">
        <f t="shared" si="28"/>
        <v>0</v>
      </c>
      <c r="BD34" s="25">
        <f t="shared" si="29"/>
        <v>0</v>
      </c>
      <c r="BE34" s="25">
        <f t="shared" si="30"/>
        <v>0</v>
      </c>
      <c r="BF34" s="25">
        <f t="shared" si="31"/>
        <v>0</v>
      </c>
    </row>
    <row r="35" spans="1:58" s="25" customFormat="1" ht="15" customHeight="1" x14ac:dyDescent="0.25">
      <c r="A35" s="38" t="s">
        <v>111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32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43"/>
      <c r="Y35" s="23"/>
      <c r="Z35" s="23"/>
      <c r="AA35" s="23"/>
      <c r="AB35" s="24">
        <f t="shared" si="2"/>
        <v>0</v>
      </c>
      <c r="AC35" s="24">
        <f t="shared" si="3"/>
        <v>0</v>
      </c>
      <c r="AD35" s="25">
        <v>16.5</v>
      </c>
      <c r="AE35" s="25">
        <f t="shared" si="4"/>
        <v>0</v>
      </c>
      <c r="AF35" s="25">
        <f t="shared" si="5"/>
        <v>0</v>
      </c>
      <c r="AG35" s="25">
        <f t="shared" si="6"/>
        <v>0</v>
      </c>
      <c r="AH35" s="25">
        <f t="shared" si="7"/>
        <v>0</v>
      </c>
      <c r="AI35" s="25">
        <f t="shared" si="8"/>
        <v>0</v>
      </c>
      <c r="AJ35" s="25">
        <f t="shared" si="9"/>
        <v>0</v>
      </c>
      <c r="AK35" s="25">
        <f t="shared" si="10"/>
        <v>0</v>
      </c>
      <c r="AL35" s="25">
        <f t="shared" si="11"/>
        <v>0</v>
      </c>
      <c r="AM35" s="25">
        <f t="shared" si="12"/>
        <v>0</v>
      </c>
      <c r="AN35" s="25">
        <f t="shared" si="13"/>
        <v>0</v>
      </c>
      <c r="AO35" s="25">
        <f t="shared" si="14"/>
        <v>0</v>
      </c>
      <c r="AP35" s="25">
        <f t="shared" si="15"/>
        <v>0</v>
      </c>
      <c r="AQ35" s="25">
        <f t="shared" si="16"/>
        <v>0</v>
      </c>
      <c r="AR35" s="25">
        <f t="shared" si="17"/>
        <v>0</v>
      </c>
      <c r="AS35" s="25">
        <f t="shared" si="18"/>
        <v>0</v>
      </c>
      <c r="AT35" s="25">
        <f t="shared" si="19"/>
        <v>0</v>
      </c>
      <c r="AU35" s="25">
        <f t="shared" si="20"/>
        <v>0</v>
      </c>
      <c r="AV35" s="25">
        <f t="shared" si="21"/>
        <v>0</v>
      </c>
      <c r="AW35" s="25">
        <f t="shared" si="22"/>
        <v>0</v>
      </c>
      <c r="AX35" s="25">
        <f t="shared" si="23"/>
        <v>0</v>
      </c>
      <c r="AY35" s="25">
        <f t="shared" si="24"/>
        <v>0</v>
      </c>
      <c r="AZ35" s="25">
        <f t="shared" si="25"/>
        <v>0</v>
      </c>
      <c r="BA35" s="25">
        <f t="shared" si="26"/>
        <v>0</v>
      </c>
      <c r="BB35" s="25">
        <f t="shared" si="27"/>
        <v>0</v>
      </c>
      <c r="BC35" s="25">
        <f t="shared" si="28"/>
        <v>0</v>
      </c>
      <c r="BD35" s="25">
        <f t="shared" si="29"/>
        <v>0</v>
      </c>
      <c r="BE35" s="25">
        <f t="shared" si="30"/>
        <v>0</v>
      </c>
      <c r="BF35" s="25">
        <f t="shared" si="31"/>
        <v>0</v>
      </c>
    </row>
    <row r="36" spans="1:58" s="25" customFormat="1" ht="15" customHeight="1" x14ac:dyDescent="0.25">
      <c r="A36" s="38" t="s">
        <v>112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32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43"/>
      <c r="Y36" s="23"/>
      <c r="Z36" s="23"/>
      <c r="AA36" s="23"/>
      <c r="AB36" s="24">
        <f t="shared" si="2"/>
        <v>0</v>
      </c>
      <c r="AC36" s="24">
        <f t="shared" si="3"/>
        <v>0</v>
      </c>
      <c r="AD36" s="25">
        <v>38.5</v>
      </c>
      <c r="AE36" s="25">
        <f t="shared" si="4"/>
        <v>0</v>
      </c>
      <c r="AF36" s="25">
        <f t="shared" si="5"/>
        <v>0</v>
      </c>
      <c r="AG36" s="25">
        <f t="shared" si="6"/>
        <v>0</v>
      </c>
      <c r="AH36" s="25">
        <f t="shared" si="7"/>
        <v>0</v>
      </c>
      <c r="AI36" s="25">
        <f t="shared" si="8"/>
        <v>0</v>
      </c>
      <c r="AJ36" s="25">
        <f t="shared" si="9"/>
        <v>0</v>
      </c>
      <c r="AK36" s="25">
        <f t="shared" si="10"/>
        <v>0</v>
      </c>
      <c r="AL36" s="25">
        <f t="shared" si="11"/>
        <v>0</v>
      </c>
      <c r="AM36" s="25">
        <f t="shared" si="12"/>
        <v>0</v>
      </c>
      <c r="AN36" s="25">
        <f t="shared" si="13"/>
        <v>0</v>
      </c>
      <c r="AO36" s="25">
        <f t="shared" si="14"/>
        <v>0</v>
      </c>
      <c r="AP36" s="25">
        <f t="shared" si="15"/>
        <v>0</v>
      </c>
      <c r="AQ36" s="25">
        <f t="shared" si="16"/>
        <v>0</v>
      </c>
      <c r="AR36" s="25">
        <f t="shared" si="17"/>
        <v>0</v>
      </c>
      <c r="AS36" s="25">
        <f t="shared" si="18"/>
        <v>0</v>
      </c>
      <c r="AT36" s="25">
        <f t="shared" si="19"/>
        <v>0</v>
      </c>
      <c r="AU36" s="25">
        <f t="shared" si="20"/>
        <v>0</v>
      </c>
      <c r="AV36" s="25">
        <f t="shared" si="21"/>
        <v>0</v>
      </c>
      <c r="AW36" s="25">
        <f t="shared" si="22"/>
        <v>0</v>
      </c>
      <c r="AX36" s="25">
        <f t="shared" si="23"/>
        <v>0</v>
      </c>
      <c r="AY36" s="25">
        <f t="shared" si="24"/>
        <v>0</v>
      </c>
      <c r="AZ36" s="25">
        <f t="shared" si="25"/>
        <v>0</v>
      </c>
      <c r="BA36" s="25">
        <f t="shared" si="26"/>
        <v>0</v>
      </c>
      <c r="BB36" s="25">
        <f t="shared" si="27"/>
        <v>0</v>
      </c>
      <c r="BC36" s="25">
        <f t="shared" si="28"/>
        <v>0</v>
      </c>
      <c r="BD36" s="25">
        <f t="shared" si="29"/>
        <v>0</v>
      </c>
      <c r="BE36" s="25">
        <f t="shared" si="30"/>
        <v>0</v>
      </c>
      <c r="BF36" s="25">
        <f t="shared" si="31"/>
        <v>0</v>
      </c>
    </row>
    <row r="37" spans="1:58" s="25" customFormat="1" ht="15" customHeight="1" x14ac:dyDescent="0.25">
      <c r="A37" s="38" t="s">
        <v>113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32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43"/>
      <c r="Y37" s="23"/>
      <c r="Z37" s="23"/>
      <c r="AA37" s="23"/>
      <c r="AB37" s="24">
        <f t="shared" si="2"/>
        <v>0</v>
      </c>
      <c r="AC37" s="24">
        <f t="shared" si="3"/>
        <v>0</v>
      </c>
      <c r="AD37" s="25">
        <v>0.8</v>
      </c>
      <c r="AE37" s="25">
        <f t="shared" si="4"/>
        <v>0</v>
      </c>
      <c r="AF37" s="25">
        <f t="shared" si="5"/>
        <v>0</v>
      </c>
      <c r="AG37" s="25">
        <f t="shared" si="6"/>
        <v>0</v>
      </c>
      <c r="AH37" s="25">
        <f t="shared" si="7"/>
        <v>0</v>
      </c>
      <c r="AI37" s="25">
        <f t="shared" si="8"/>
        <v>0</v>
      </c>
      <c r="AJ37" s="25">
        <f t="shared" si="9"/>
        <v>0</v>
      </c>
      <c r="AK37" s="25">
        <f t="shared" si="10"/>
        <v>0</v>
      </c>
      <c r="AL37" s="25">
        <f t="shared" si="11"/>
        <v>0</v>
      </c>
      <c r="AM37" s="25">
        <f t="shared" si="12"/>
        <v>0</v>
      </c>
      <c r="AN37" s="25">
        <f t="shared" si="13"/>
        <v>0</v>
      </c>
      <c r="AO37" s="25">
        <f t="shared" si="14"/>
        <v>0</v>
      </c>
      <c r="AP37" s="25">
        <f t="shared" si="15"/>
        <v>0</v>
      </c>
      <c r="AQ37" s="25">
        <f t="shared" si="16"/>
        <v>0</v>
      </c>
      <c r="AR37" s="25">
        <f t="shared" si="17"/>
        <v>0</v>
      </c>
      <c r="AS37" s="25">
        <f t="shared" si="18"/>
        <v>0</v>
      </c>
      <c r="AT37" s="25">
        <f t="shared" si="19"/>
        <v>0</v>
      </c>
      <c r="AU37" s="25">
        <f t="shared" si="20"/>
        <v>0</v>
      </c>
      <c r="AV37" s="25">
        <f t="shared" si="21"/>
        <v>0</v>
      </c>
      <c r="AW37" s="25">
        <f t="shared" si="22"/>
        <v>0</v>
      </c>
      <c r="AX37" s="25">
        <f t="shared" si="23"/>
        <v>0</v>
      </c>
      <c r="AY37" s="25">
        <f t="shared" si="24"/>
        <v>0</v>
      </c>
      <c r="AZ37" s="25">
        <f t="shared" si="25"/>
        <v>0</v>
      </c>
      <c r="BA37" s="25">
        <f t="shared" si="26"/>
        <v>0</v>
      </c>
      <c r="BB37" s="25">
        <f t="shared" si="27"/>
        <v>0</v>
      </c>
      <c r="BC37" s="25">
        <f t="shared" si="28"/>
        <v>0</v>
      </c>
      <c r="BD37" s="25">
        <f t="shared" si="29"/>
        <v>0</v>
      </c>
      <c r="BE37" s="25">
        <f t="shared" si="30"/>
        <v>0</v>
      </c>
      <c r="BF37" s="25">
        <f t="shared" si="31"/>
        <v>0</v>
      </c>
    </row>
    <row r="38" spans="1:58" s="25" customFormat="1" ht="15" customHeight="1" x14ac:dyDescent="0.25">
      <c r="A38" s="38" t="s">
        <v>114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32"/>
        <v>991</v>
      </c>
      <c r="K38" s="21"/>
      <c r="L38" s="23"/>
      <c r="M38" s="23"/>
      <c r="N38" s="43"/>
      <c r="O38" s="43">
        <v>12</v>
      </c>
      <c r="P38" s="23"/>
      <c r="Q38" s="23"/>
      <c r="R38" s="23"/>
      <c r="S38" s="23">
        <v>816</v>
      </c>
      <c r="T38" s="23"/>
      <c r="U38" s="23"/>
      <c r="V38" s="23"/>
      <c r="W38" s="23"/>
      <c r="X38" s="43"/>
      <c r="Y38" s="23"/>
      <c r="Z38" s="23"/>
      <c r="AA38" s="23">
        <v>108</v>
      </c>
      <c r="AB38" s="24">
        <f t="shared" si="2"/>
        <v>924</v>
      </c>
      <c r="AC38" s="24">
        <f t="shared" si="3"/>
        <v>67</v>
      </c>
      <c r="AD38" s="25">
        <v>0.56999999999999995</v>
      </c>
      <c r="AE38" s="25">
        <f t="shared" si="4"/>
        <v>245.09999999999997</v>
      </c>
      <c r="AF38" s="25">
        <f t="shared" si="5"/>
        <v>0</v>
      </c>
      <c r="AG38" s="25">
        <f t="shared" si="6"/>
        <v>0</v>
      </c>
      <c r="AH38" s="25">
        <f t="shared" si="7"/>
        <v>0</v>
      </c>
      <c r="AI38" s="25">
        <f t="shared" si="8"/>
        <v>185.24999999999997</v>
      </c>
      <c r="AJ38" s="25">
        <f t="shared" si="9"/>
        <v>0</v>
      </c>
      <c r="AK38" s="25">
        <f t="shared" si="10"/>
        <v>0</v>
      </c>
      <c r="AL38" s="25">
        <f t="shared" si="11"/>
        <v>134.51999999999998</v>
      </c>
      <c r="AM38" s="25">
        <f t="shared" si="12"/>
        <v>564.87</v>
      </c>
      <c r="AN38" s="25">
        <f t="shared" si="13"/>
        <v>0</v>
      </c>
      <c r="AO38" s="25">
        <f t="shared" si="14"/>
        <v>0</v>
      </c>
      <c r="AP38" s="25">
        <f t="shared" si="15"/>
        <v>0</v>
      </c>
      <c r="AQ38" s="25">
        <f t="shared" si="16"/>
        <v>0</v>
      </c>
      <c r="AR38" s="25">
        <f t="shared" si="17"/>
        <v>6.84</v>
      </c>
      <c r="AS38" s="25">
        <f t="shared" si="18"/>
        <v>0</v>
      </c>
      <c r="AT38" s="25">
        <f t="shared" si="19"/>
        <v>0</v>
      </c>
      <c r="AU38" s="25">
        <f t="shared" si="20"/>
        <v>0</v>
      </c>
      <c r="AV38" s="25">
        <f t="shared" si="21"/>
        <v>465.11999999999995</v>
      </c>
      <c r="AW38" s="25">
        <f t="shared" si="22"/>
        <v>0</v>
      </c>
      <c r="AX38" s="25">
        <f t="shared" si="23"/>
        <v>0</v>
      </c>
      <c r="AY38" s="25">
        <f t="shared" si="24"/>
        <v>0</v>
      </c>
      <c r="AZ38" s="25">
        <f t="shared" si="25"/>
        <v>0</v>
      </c>
      <c r="BA38" s="25">
        <f t="shared" si="26"/>
        <v>0</v>
      </c>
      <c r="BB38" s="25">
        <f t="shared" si="27"/>
        <v>0</v>
      </c>
      <c r="BC38" s="25">
        <f t="shared" si="28"/>
        <v>0</v>
      </c>
      <c r="BD38" s="25">
        <f t="shared" si="29"/>
        <v>61.559999999999995</v>
      </c>
      <c r="BE38" s="25">
        <f t="shared" si="30"/>
        <v>526.67999999999995</v>
      </c>
      <c r="BF38" s="25">
        <f t="shared" si="31"/>
        <v>38.19</v>
      </c>
    </row>
    <row r="39" spans="1:58" s="25" customFormat="1" ht="15" customHeight="1" x14ac:dyDescent="0.25">
      <c r="A39" s="38" t="s">
        <v>115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32"/>
        <v>16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43"/>
      <c r="Y39" s="23"/>
      <c r="Z39" s="23"/>
      <c r="AA39" s="23"/>
      <c r="AB39" s="24">
        <f t="shared" si="2"/>
        <v>0</v>
      </c>
      <c r="AC39" s="24">
        <f t="shared" si="3"/>
        <v>16</v>
      </c>
      <c r="AD39" s="25">
        <v>0.56999999999999995</v>
      </c>
      <c r="AE39" s="25">
        <f t="shared" si="4"/>
        <v>0</v>
      </c>
      <c r="AF39" s="25">
        <f t="shared" si="5"/>
        <v>0</v>
      </c>
      <c r="AG39" s="25">
        <f t="shared" si="6"/>
        <v>0</v>
      </c>
      <c r="AH39" s="25">
        <f t="shared" si="7"/>
        <v>0</v>
      </c>
      <c r="AI39" s="25">
        <f t="shared" si="8"/>
        <v>0</v>
      </c>
      <c r="AJ39" s="25">
        <f t="shared" si="9"/>
        <v>0</v>
      </c>
      <c r="AK39" s="25">
        <f t="shared" si="10"/>
        <v>0</v>
      </c>
      <c r="AL39" s="25">
        <f t="shared" si="11"/>
        <v>9.1199999999999992</v>
      </c>
      <c r="AM39" s="25">
        <f t="shared" si="12"/>
        <v>9.1199999999999992</v>
      </c>
      <c r="AN39" s="25">
        <f t="shared" si="13"/>
        <v>0</v>
      </c>
      <c r="AO39" s="25">
        <f t="shared" si="14"/>
        <v>0</v>
      </c>
      <c r="AP39" s="25">
        <f t="shared" si="15"/>
        <v>0</v>
      </c>
      <c r="AQ39" s="25">
        <f t="shared" si="16"/>
        <v>0</v>
      </c>
      <c r="AR39" s="25">
        <f t="shared" si="17"/>
        <v>0</v>
      </c>
      <c r="AS39" s="25">
        <f t="shared" si="18"/>
        <v>0</v>
      </c>
      <c r="AT39" s="25">
        <f t="shared" si="19"/>
        <v>0</v>
      </c>
      <c r="AU39" s="25">
        <f t="shared" si="20"/>
        <v>0</v>
      </c>
      <c r="AV39" s="25">
        <f t="shared" si="21"/>
        <v>0</v>
      </c>
      <c r="AW39" s="25">
        <f t="shared" si="22"/>
        <v>0</v>
      </c>
      <c r="AX39" s="25">
        <f t="shared" si="23"/>
        <v>0</v>
      </c>
      <c r="AY39" s="25">
        <f t="shared" si="24"/>
        <v>0</v>
      </c>
      <c r="AZ39" s="25">
        <f t="shared" si="25"/>
        <v>0</v>
      </c>
      <c r="BA39" s="25">
        <f t="shared" si="26"/>
        <v>0</v>
      </c>
      <c r="BB39" s="25">
        <f t="shared" si="27"/>
        <v>0</v>
      </c>
      <c r="BC39" s="25">
        <f t="shared" si="28"/>
        <v>0</v>
      </c>
      <c r="BD39" s="25">
        <f t="shared" si="29"/>
        <v>0</v>
      </c>
      <c r="BE39" s="25">
        <f t="shared" si="30"/>
        <v>0</v>
      </c>
      <c r="BF39" s="25">
        <f t="shared" si="31"/>
        <v>9.1199999999999992</v>
      </c>
    </row>
    <row r="40" spans="1:58" s="25" customFormat="1" ht="15" customHeight="1" x14ac:dyDescent="0.25">
      <c r="A40" s="38" t="s">
        <v>116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32"/>
        <v>830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>
        <v>544</v>
      </c>
      <c r="T40" s="23"/>
      <c r="U40" s="23"/>
      <c r="V40" s="23">
        <v>40</v>
      </c>
      <c r="W40" s="23">
        <v>38</v>
      </c>
      <c r="X40" s="43">
        <v>16</v>
      </c>
      <c r="Y40" s="23"/>
      <c r="Z40" s="23"/>
      <c r="AA40" s="23">
        <v>104</v>
      </c>
      <c r="AB40" s="24">
        <f t="shared" si="2"/>
        <v>772</v>
      </c>
      <c r="AC40" s="24">
        <f t="shared" si="3"/>
        <v>58</v>
      </c>
      <c r="AD40" s="25">
        <v>4.1100000000000003</v>
      </c>
      <c r="AE40" s="25">
        <f t="shared" si="4"/>
        <v>1035.72</v>
      </c>
      <c r="AF40" s="25">
        <f t="shared" si="5"/>
        <v>0</v>
      </c>
      <c r="AG40" s="25">
        <f t="shared" si="6"/>
        <v>0</v>
      </c>
      <c r="AH40" s="25">
        <f t="shared" si="7"/>
        <v>0</v>
      </c>
      <c r="AI40" s="25">
        <f t="shared" si="8"/>
        <v>1553.5800000000002</v>
      </c>
      <c r="AJ40" s="25">
        <f t="shared" si="9"/>
        <v>0</v>
      </c>
      <c r="AK40" s="25">
        <f t="shared" si="10"/>
        <v>0</v>
      </c>
      <c r="AL40" s="25">
        <f t="shared" si="11"/>
        <v>822.00000000000011</v>
      </c>
      <c r="AM40" s="25">
        <f t="shared" si="12"/>
        <v>3411.3</v>
      </c>
      <c r="AN40" s="25">
        <f t="shared" si="13"/>
        <v>0</v>
      </c>
      <c r="AO40" s="25">
        <f t="shared" si="14"/>
        <v>0</v>
      </c>
      <c r="AP40" s="25">
        <f t="shared" si="15"/>
        <v>0</v>
      </c>
      <c r="AQ40" s="25">
        <f t="shared" si="16"/>
        <v>0</v>
      </c>
      <c r="AR40" s="25">
        <f t="shared" si="17"/>
        <v>49.320000000000007</v>
      </c>
      <c r="AS40" s="25">
        <f t="shared" si="18"/>
        <v>189.06</v>
      </c>
      <c r="AT40" s="25">
        <f t="shared" si="19"/>
        <v>0</v>
      </c>
      <c r="AU40" s="25">
        <f t="shared" si="20"/>
        <v>0</v>
      </c>
      <c r="AV40" s="25">
        <f t="shared" si="21"/>
        <v>2235.84</v>
      </c>
      <c r="AW40" s="25">
        <f t="shared" si="22"/>
        <v>0</v>
      </c>
      <c r="AX40" s="25">
        <f t="shared" si="23"/>
        <v>0</v>
      </c>
      <c r="AY40" s="25">
        <f t="shared" si="24"/>
        <v>164.4</v>
      </c>
      <c r="AZ40" s="25">
        <f t="shared" si="25"/>
        <v>156.18</v>
      </c>
      <c r="BA40" s="25">
        <f t="shared" si="26"/>
        <v>65.760000000000005</v>
      </c>
      <c r="BB40" s="25">
        <f t="shared" si="27"/>
        <v>0</v>
      </c>
      <c r="BC40" s="25">
        <f t="shared" si="28"/>
        <v>0</v>
      </c>
      <c r="BD40" s="25">
        <f t="shared" si="29"/>
        <v>427.44000000000005</v>
      </c>
      <c r="BE40" s="25">
        <f t="shared" si="30"/>
        <v>3172.92</v>
      </c>
      <c r="BF40" s="25">
        <f t="shared" si="31"/>
        <v>238.38000000000002</v>
      </c>
    </row>
    <row r="41" spans="1:58" s="25" customFormat="1" ht="15" customHeight="1" x14ac:dyDescent="0.25">
      <c r="A41" s="38" t="s">
        <v>117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32"/>
        <v>63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43"/>
      <c r="Y41" s="23"/>
      <c r="Z41" s="23"/>
      <c r="AA41" s="23"/>
      <c r="AB41" s="24">
        <f t="shared" si="2"/>
        <v>0</v>
      </c>
      <c r="AC41" s="24">
        <f t="shared" si="3"/>
        <v>63</v>
      </c>
      <c r="AD41" s="25">
        <v>4.1100000000000003</v>
      </c>
      <c r="AE41" s="25">
        <f t="shared" si="4"/>
        <v>94.53</v>
      </c>
      <c r="AF41" s="25">
        <f t="shared" si="5"/>
        <v>0</v>
      </c>
      <c r="AG41" s="25">
        <f t="shared" si="6"/>
        <v>0</v>
      </c>
      <c r="AH41" s="25">
        <f t="shared" si="7"/>
        <v>0</v>
      </c>
      <c r="AI41" s="25">
        <f t="shared" si="8"/>
        <v>0</v>
      </c>
      <c r="AJ41" s="25">
        <f t="shared" si="9"/>
        <v>0</v>
      </c>
      <c r="AK41" s="25">
        <f t="shared" si="10"/>
        <v>0</v>
      </c>
      <c r="AL41" s="25">
        <f t="shared" si="11"/>
        <v>164.4</v>
      </c>
      <c r="AM41" s="25">
        <f t="shared" si="12"/>
        <v>258.93</v>
      </c>
      <c r="AN41" s="25">
        <f t="shared" si="13"/>
        <v>0</v>
      </c>
      <c r="AO41" s="25">
        <f t="shared" si="14"/>
        <v>0</v>
      </c>
      <c r="AP41" s="25">
        <f t="shared" si="15"/>
        <v>0</v>
      </c>
      <c r="AQ41" s="25">
        <f t="shared" si="16"/>
        <v>0</v>
      </c>
      <c r="AR41" s="25">
        <f t="shared" si="17"/>
        <v>0</v>
      </c>
      <c r="AS41" s="25">
        <f t="shared" si="18"/>
        <v>0</v>
      </c>
      <c r="AT41" s="25">
        <f t="shared" si="19"/>
        <v>0</v>
      </c>
      <c r="AU41" s="25">
        <f t="shared" si="20"/>
        <v>0</v>
      </c>
      <c r="AV41" s="25">
        <f t="shared" si="21"/>
        <v>0</v>
      </c>
      <c r="AW41" s="25">
        <f t="shared" si="22"/>
        <v>0</v>
      </c>
      <c r="AX41" s="25">
        <f t="shared" si="23"/>
        <v>0</v>
      </c>
      <c r="AY41" s="25">
        <f t="shared" si="24"/>
        <v>0</v>
      </c>
      <c r="AZ41" s="25">
        <f t="shared" si="25"/>
        <v>0</v>
      </c>
      <c r="BA41" s="25">
        <f t="shared" si="26"/>
        <v>0</v>
      </c>
      <c r="BB41" s="25">
        <f t="shared" si="27"/>
        <v>0</v>
      </c>
      <c r="BC41" s="25">
        <f t="shared" si="28"/>
        <v>0</v>
      </c>
      <c r="BD41" s="25">
        <f t="shared" si="29"/>
        <v>0</v>
      </c>
      <c r="BE41" s="25">
        <f t="shared" si="30"/>
        <v>0</v>
      </c>
      <c r="BF41" s="25">
        <f t="shared" si="31"/>
        <v>258.93</v>
      </c>
    </row>
    <row r="42" spans="1:58" s="25" customFormat="1" ht="15" customHeight="1" x14ac:dyDescent="0.25">
      <c r="A42" s="38" t="s">
        <v>118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32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43"/>
      <c r="Y42" s="23"/>
      <c r="Z42" s="23"/>
      <c r="AA42" s="23"/>
      <c r="AB42" s="24">
        <f t="shared" si="2"/>
        <v>0</v>
      </c>
      <c r="AC42" s="24">
        <f t="shared" si="3"/>
        <v>0</v>
      </c>
      <c r="AD42" s="25">
        <v>24.3</v>
      </c>
      <c r="AE42" s="25">
        <f t="shared" si="4"/>
        <v>0</v>
      </c>
      <c r="AF42" s="25">
        <f t="shared" si="5"/>
        <v>0</v>
      </c>
      <c r="AG42" s="25">
        <f t="shared" si="6"/>
        <v>0</v>
      </c>
      <c r="AH42" s="25">
        <f t="shared" si="7"/>
        <v>0</v>
      </c>
      <c r="AI42" s="25">
        <f t="shared" si="8"/>
        <v>0</v>
      </c>
      <c r="AJ42" s="25">
        <f t="shared" si="9"/>
        <v>0</v>
      </c>
      <c r="AK42" s="25">
        <f t="shared" si="10"/>
        <v>0</v>
      </c>
      <c r="AL42" s="25">
        <f t="shared" si="11"/>
        <v>0</v>
      </c>
      <c r="AM42" s="25">
        <f t="shared" si="12"/>
        <v>0</v>
      </c>
      <c r="AN42" s="25">
        <f t="shared" si="13"/>
        <v>0</v>
      </c>
      <c r="AO42" s="25">
        <f t="shared" si="14"/>
        <v>0</v>
      </c>
      <c r="AP42" s="25">
        <f t="shared" si="15"/>
        <v>0</v>
      </c>
      <c r="AQ42" s="25">
        <f t="shared" si="16"/>
        <v>0</v>
      </c>
      <c r="AR42" s="25">
        <f t="shared" si="17"/>
        <v>0</v>
      </c>
      <c r="AS42" s="25">
        <f t="shared" si="18"/>
        <v>0</v>
      </c>
      <c r="AT42" s="25">
        <f t="shared" si="19"/>
        <v>0</v>
      </c>
      <c r="AU42" s="25">
        <f t="shared" si="20"/>
        <v>0</v>
      </c>
      <c r="AV42" s="25">
        <f t="shared" si="21"/>
        <v>0</v>
      </c>
      <c r="AW42" s="25">
        <f t="shared" si="22"/>
        <v>0</v>
      </c>
      <c r="AX42" s="25">
        <f t="shared" si="23"/>
        <v>0</v>
      </c>
      <c r="AY42" s="25">
        <f t="shared" si="24"/>
        <v>0</v>
      </c>
      <c r="AZ42" s="25">
        <f t="shared" si="25"/>
        <v>0</v>
      </c>
      <c r="BA42" s="25">
        <f t="shared" si="26"/>
        <v>0</v>
      </c>
      <c r="BB42" s="25">
        <f t="shared" si="27"/>
        <v>0</v>
      </c>
      <c r="BC42" s="25">
        <f t="shared" si="28"/>
        <v>0</v>
      </c>
      <c r="BD42" s="25">
        <f t="shared" si="29"/>
        <v>0</v>
      </c>
      <c r="BE42" s="25">
        <f t="shared" si="30"/>
        <v>0</v>
      </c>
      <c r="BF42" s="25">
        <f t="shared" si="31"/>
        <v>0</v>
      </c>
    </row>
    <row r="43" spans="1:58" s="25" customFormat="1" ht="15" customHeight="1" x14ac:dyDescent="0.25">
      <c r="A43" s="38" t="s">
        <v>119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32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43"/>
      <c r="Y43" s="23"/>
      <c r="Z43" s="23"/>
      <c r="AA43" s="23"/>
      <c r="AB43" s="24">
        <f t="shared" si="2"/>
        <v>0</v>
      </c>
      <c r="AC43" s="24">
        <f t="shared" si="3"/>
        <v>0</v>
      </c>
      <c r="AD43" s="25">
        <v>10.4</v>
      </c>
      <c r="AE43" s="25">
        <f t="shared" si="4"/>
        <v>0</v>
      </c>
      <c r="AF43" s="25">
        <f t="shared" si="5"/>
        <v>0</v>
      </c>
      <c r="AG43" s="25">
        <f t="shared" si="6"/>
        <v>0</v>
      </c>
      <c r="AH43" s="25">
        <f t="shared" si="7"/>
        <v>0</v>
      </c>
      <c r="AI43" s="25">
        <f t="shared" si="8"/>
        <v>0</v>
      </c>
      <c r="AJ43" s="25">
        <f t="shared" si="9"/>
        <v>0</v>
      </c>
      <c r="AK43" s="25">
        <f t="shared" si="10"/>
        <v>0</v>
      </c>
      <c r="AL43" s="25">
        <f t="shared" si="11"/>
        <v>0</v>
      </c>
      <c r="AM43" s="25">
        <f t="shared" si="12"/>
        <v>0</v>
      </c>
      <c r="AN43" s="25">
        <f t="shared" si="13"/>
        <v>0</v>
      </c>
      <c r="AO43" s="25">
        <f t="shared" si="14"/>
        <v>0</v>
      </c>
      <c r="AP43" s="25">
        <f t="shared" si="15"/>
        <v>0</v>
      </c>
      <c r="AQ43" s="25">
        <f t="shared" si="16"/>
        <v>0</v>
      </c>
      <c r="AR43" s="25">
        <f t="shared" si="17"/>
        <v>0</v>
      </c>
      <c r="AS43" s="25">
        <f t="shared" si="18"/>
        <v>0</v>
      </c>
      <c r="AT43" s="25">
        <f t="shared" si="19"/>
        <v>0</v>
      </c>
      <c r="AU43" s="25">
        <f t="shared" si="20"/>
        <v>0</v>
      </c>
      <c r="AV43" s="25">
        <f t="shared" si="21"/>
        <v>0</v>
      </c>
      <c r="AW43" s="25">
        <f t="shared" si="22"/>
        <v>0</v>
      </c>
      <c r="AX43" s="25">
        <f t="shared" si="23"/>
        <v>0</v>
      </c>
      <c r="AY43" s="25">
        <f t="shared" si="24"/>
        <v>0</v>
      </c>
      <c r="AZ43" s="25">
        <f t="shared" si="25"/>
        <v>0</v>
      </c>
      <c r="BA43" s="25">
        <f t="shared" si="26"/>
        <v>0</v>
      </c>
      <c r="BB43" s="25">
        <f t="shared" si="27"/>
        <v>0</v>
      </c>
      <c r="BC43" s="25">
        <f t="shared" si="28"/>
        <v>0</v>
      </c>
      <c r="BD43" s="25">
        <f t="shared" si="29"/>
        <v>0</v>
      </c>
      <c r="BE43" s="25">
        <f t="shared" si="30"/>
        <v>0</v>
      </c>
      <c r="BF43" s="25">
        <f t="shared" si="31"/>
        <v>0</v>
      </c>
    </row>
    <row r="44" spans="1:58" s="25" customFormat="1" ht="15" customHeight="1" x14ac:dyDescent="0.25">
      <c r="A44" s="38" t="s">
        <v>120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32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43"/>
      <c r="Y44" s="23"/>
      <c r="Z44" s="23"/>
      <c r="AA44" s="23"/>
      <c r="AB44" s="24">
        <f t="shared" si="2"/>
        <v>0</v>
      </c>
      <c r="AC44" s="24">
        <f t="shared" si="3"/>
        <v>9</v>
      </c>
      <c r="AD44" s="25">
        <v>6.87</v>
      </c>
      <c r="AE44" s="25">
        <f t="shared" si="4"/>
        <v>61.83</v>
      </c>
      <c r="AF44" s="25">
        <f t="shared" si="5"/>
        <v>0</v>
      </c>
      <c r="AG44" s="25">
        <f t="shared" si="6"/>
        <v>0</v>
      </c>
      <c r="AH44" s="25">
        <f t="shared" si="7"/>
        <v>0</v>
      </c>
      <c r="AI44" s="25">
        <f t="shared" si="8"/>
        <v>0</v>
      </c>
      <c r="AJ44" s="25">
        <f t="shared" si="9"/>
        <v>0</v>
      </c>
      <c r="AK44" s="25">
        <f t="shared" si="10"/>
        <v>0</v>
      </c>
      <c r="AL44" s="25">
        <f t="shared" si="11"/>
        <v>0</v>
      </c>
      <c r="AM44" s="25">
        <f t="shared" si="12"/>
        <v>61.83</v>
      </c>
      <c r="AN44" s="25">
        <f t="shared" si="13"/>
        <v>0</v>
      </c>
      <c r="AO44" s="25">
        <f t="shared" si="14"/>
        <v>0</v>
      </c>
      <c r="AP44" s="25">
        <f t="shared" si="15"/>
        <v>0</v>
      </c>
      <c r="AQ44" s="25">
        <f t="shared" si="16"/>
        <v>0</v>
      </c>
      <c r="AR44" s="25">
        <f t="shared" si="17"/>
        <v>0</v>
      </c>
      <c r="AS44" s="25">
        <f t="shared" si="18"/>
        <v>0</v>
      </c>
      <c r="AT44" s="25">
        <f t="shared" si="19"/>
        <v>0</v>
      </c>
      <c r="AU44" s="25">
        <f t="shared" si="20"/>
        <v>0</v>
      </c>
      <c r="AV44" s="25">
        <f t="shared" si="21"/>
        <v>0</v>
      </c>
      <c r="AW44" s="25">
        <f t="shared" si="22"/>
        <v>0</v>
      </c>
      <c r="AX44" s="25">
        <f t="shared" si="23"/>
        <v>0</v>
      </c>
      <c r="AY44" s="25">
        <f t="shared" si="24"/>
        <v>0</v>
      </c>
      <c r="AZ44" s="25">
        <f t="shared" si="25"/>
        <v>0</v>
      </c>
      <c r="BA44" s="25">
        <f t="shared" si="26"/>
        <v>0</v>
      </c>
      <c r="BB44" s="25">
        <f t="shared" si="27"/>
        <v>0</v>
      </c>
      <c r="BC44" s="25">
        <f t="shared" si="28"/>
        <v>0</v>
      </c>
      <c r="BD44" s="25">
        <f t="shared" si="29"/>
        <v>0</v>
      </c>
      <c r="BE44" s="25">
        <f t="shared" si="30"/>
        <v>0</v>
      </c>
      <c r="BF44" s="25">
        <f t="shared" si="31"/>
        <v>61.83</v>
      </c>
    </row>
    <row r="45" spans="1:58" s="25" customFormat="1" ht="15" customHeight="1" x14ac:dyDescent="0.25">
      <c r="A45" s="38" t="s">
        <v>121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>B45+D45+E45</f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43"/>
      <c r="Y45" s="23"/>
      <c r="Z45" s="23"/>
      <c r="AA45" s="23"/>
      <c r="AB45" s="24">
        <f>L45+M45+P45+Q45+R45</f>
        <v>0</v>
      </c>
      <c r="AC45" s="24">
        <f t="shared" si="3"/>
        <v>0</v>
      </c>
      <c r="AD45" s="25">
        <v>6.96</v>
      </c>
      <c r="AE45" s="25">
        <f t="shared" si="4"/>
        <v>0</v>
      </c>
      <c r="AF45" s="25">
        <f t="shared" si="5"/>
        <v>0</v>
      </c>
      <c r="AG45" s="25">
        <f t="shared" si="6"/>
        <v>0</v>
      </c>
      <c r="AH45" s="25">
        <f t="shared" si="7"/>
        <v>0</v>
      </c>
      <c r="AI45" s="25">
        <f t="shared" si="8"/>
        <v>0</v>
      </c>
      <c r="AJ45" s="25">
        <f t="shared" si="9"/>
        <v>0</v>
      </c>
      <c r="AK45" s="25">
        <f t="shared" si="10"/>
        <v>0</v>
      </c>
      <c r="AL45" s="25">
        <f t="shared" si="11"/>
        <v>0</v>
      </c>
      <c r="AM45" s="25">
        <f t="shared" si="12"/>
        <v>0</v>
      </c>
      <c r="AN45" s="25">
        <f t="shared" si="13"/>
        <v>0</v>
      </c>
      <c r="AO45" s="25">
        <f t="shared" si="14"/>
        <v>0</v>
      </c>
      <c r="AP45" s="25">
        <f t="shared" si="15"/>
        <v>0</v>
      </c>
      <c r="AQ45" s="25">
        <f t="shared" si="16"/>
        <v>0</v>
      </c>
      <c r="AR45" s="25">
        <f t="shared" si="17"/>
        <v>0</v>
      </c>
      <c r="AS45" s="25">
        <f t="shared" si="18"/>
        <v>0</v>
      </c>
      <c r="AT45" s="25">
        <f t="shared" si="19"/>
        <v>0</v>
      </c>
      <c r="AU45" s="25">
        <f t="shared" si="20"/>
        <v>0</v>
      </c>
      <c r="AV45" s="25">
        <f t="shared" si="21"/>
        <v>0</v>
      </c>
      <c r="AW45" s="25">
        <f t="shared" si="22"/>
        <v>0</v>
      </c>
      <c r="AX45" s="25">
        <f t="shared" si="23"/>
        <v>0</v>
      </c>
      <c r="AY45" s="25">
        <f t="shared" si="24"/>
        <v>0</v>
      </c>
      <c r="AZ45" s="25">
        <f t="shared" si="25"/>
        <v>0</v>
      </c>
      <c r="BA45" s="25">
        <f t="shared" si="26"/>
        <v>0</v>
      </c>
      <c r="BB45" s="25">
        <f t="shared" si="27"/>
        <v>0</v>
      </c>
      <c r="BC45" s="25">
        <f t="shared" si="28"/>
        <v>0</v>
      </c>
      <c r="BD45" s="25">
        <f t="shared" si="29"/>
        <v>0</v>
      </c>
      <c r="BE45" s="25">
        <f t="shared" si="30"/>
        <v>0</v>
      </c>
      <c r="BF45" s="25">
        <f t="shared" si="31"/>
        <v>0</v>
      </c>
    </row>
    <row r="46" spans="1:58" s="25" customFormat="1" ht="15" customHeight="1" x14ac:dyDescent="0.25">
      <c r="A46" s="38" t="s">
        <v>122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>
        <f t="shared" ref="J46:J109" si="33">B46+D46+E46</f>
        <v>38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43"/>
      <c r="Y46" s="23"/>
      <c r="Z46" s="23"/>
      <c r="AA46" s="23"/>
      <c r="AB46" s="24">
        <f t="shared" ref="AB46:AB109" si="34">L46+M46+P46+Q46+R46</f>
        <v>0</v>
      </c>
      <c r="AC46" s="24">
        <f t="shared" si="3"/>
        <v>38</v>
      </c>
      <c r="AD46" s="25">
        <v>7.94</v>
      </c>
      <c r="AE46" s="25">
        <f t="shared" si="4"/>
        <v>206.44</v>
      </c>
      <c r="AF46" s="25">
        <f t="shared" si="5"/>
        <v>0</v>
      </c>
      <c r="AG46" s="25">
        <f t="shared" si="6"/>
        <v>0</v>
      </c>
      <c r="AH46" s="25">
        <f t="shared" si="7"/>
        <v>95.28</v>
      </c>
      <c r="AI46" s="25">
        <f t="shared" si="8"/>
        <v>0</v>
      </c>
      <c r="AJ46" s="25">
        <f t="shared" si="9"/>
        <v>0</v>
      </c>
      <c r="AK46" s="25">
        <f t="shared" si="10"/>
        <v>0</v>
      </c>
      <c r="AL46" s="25">
        <f t="shared" si="11"/>
        <v>0</v>
      </c>
      <c r="AM46" s="25">
        <f t="shared" si="12"/>
        <v>301.72000000000003</v>
      </c>
      <c r="AN46" s="25">
        <f t="shared" si="13"/>
        <v>0</v>
      </c>
      <c r="AO46" s="25">
        <f t="shared" si="14"/>
        <v>0</v>
      </c>
      <c r="AP46" s="25">
        <f t="shared" si="15"/>
        <v>0</v>
      </c>
      <c r="AQ46" s="25">
        <f t="shared" si="16"/>
        <v>0</v>
      </c>
      <c r="AR46" s="25">
        <f t="shared" si="17"/>
        <v>0</v>
      </c>
      <c r="AS46" s="25">
        <f t="shared" si="18"/>
        <v>0</v>
      </c>
      <c r="AT46" s="25">
        <f t="shared" si="19"/>
        <v>0</v>
      </c>
      <c r="AU46" s="25">
        <f t="shared" si="20"/>
        <v>0</v>
      </c>
      <c r="AV46" s="25">
        <f t="shared" si="21"/>
        <v>0</v>
      </c>
      <c r="AW46" s="25">
        <f t="shared" si="22"/>
        <v>0</v>
      </c>
      <c r="AX46" s="25">
        <f t="shared" si="23"/>
        <v>0</v>
      </c>
      <c r="AY46" s="25">
        <f t="shared" si="24"/>
        <v>0</v>
      </c>
      <c r="AZ46" s="25">
        <f t="shared" si="25"/>
        <v>0</v>
      </c>
      <c r="BA46" s="25">
        <f t="shared" si="26"/>
        <v>0</v>
      </c>
      <c r="BB46" s="25">
        <f t="shared" si="27"/>
        <v>0</v>
      </c>
      <c r="BC46" s="25">
        <f t="shared" si="28"/>
        <v>0</v>
      </c>
      <c r="BD46" s="25">
        <f t="shared" si="29"/>
        <v>0</v>
      </c>
      <c r="BE46" s="25">
        <f t="shared" si="30"/>
        <v>0</v>
      </c>
      <c r="BF46" s="25">
        <f t="shared" si="31"/>
        <v>301.72000000000003</v>
      </c>
    </row>
    <row r="47" spans="1:58" s="25" customFormat="1" ht="15" customHeight="1" x14ac:dyDescent="0.25">
      <c r="A47" s="38" t="s">
        <v>123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33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43"/>
      <c r="Y47" s="23"/>
      <c r="Z47" s="23"/>
      <c r="AA47" s="23"/>
      <c r="AB47" s="24">
        <f t="shared" si="34"/>
        <v>0</v>
      </c>
      <c r="AC47" s="24">
        <f t="shared" si="3"/>
        <v>0</v>
      </c>
      <c r="AD47" s="25">
        <v>9.07</v>
      </c>
      <c r="AE47" s="25">
        <f t="shared" si="4"/>
        <v>0</v>
      </c>
      <c r="AF47" s="25">
        <f t="shared" si="5"/>
        <v>0</v>
      </c>
      <c r="AG47" s="25">
        <f t="shared" si="6"/>
        <v>0</v>
      </c>
      <c r="AH47" s="25">
        <f t="shared" si="7"/>
        <v>0</v>
      </c>
      <c r="AI47" s="25">
        <f t="shared" si="8"/>
        <v>0</v>
      </c>
      <c r="AJ47" s="25">
        <f t="shared" si="9"/>
        <v>0</v>
      </c>
      <c r="AK47" s="25">
        <f t="shared" si="10"/>
        <v>0</v>
      </c>
      <c r="AL47" s="25">
        <f t="shared" si="11"/>
        <v>0</v>
      </c>
      <c r="AM47" s="25">
        <f t="shared" si="12"/>
        <v>0</v>
      </c>
      <c r="AN47" s="25">
        <f t="shared" si="13"/>
        <v>0</v>
      </c>
      <c r="AO47" s="25">
        <f t="shared" si="14"/>
        <v>0</v>
      </c>
      <c r="AP47" s="25">
        <f t="shared" si="15"/>
        <v>0</v>
      </c>
      <c r="AQ47" s="25">
        <f t="shared" si="16"/>
        <v>0</v>
      </c>
      <c r="AR47" s="25">
        <f t="shared" si="17"/>
        <v>0</v>
      </c>
      <c r="AS47" s="25">
        <f t="shared" si="18"/>
        <v>0</v>
      </c>
      <c r="AT47" s="25">
        <f t="shared" si="19"/>
        <v>0</v>
      </c>
      <c r="AU47" s="25">
        <f t="shared" si="20"/>
        <v>0</v>
      </c>
      <c r="AV47" s="25">
        <f t="shared" si="21"/>
        <v>0</v>
      </c>
      <c r="AW47" s="25">
        <f t="shared" si="22"/>
        <v>0</v>
      </c>
      <c r="AX47" s="25">
        <f t="shared" si="23"/>
        <v>0</v>
      </c>
      <c r="AY47" s="25">
        <f t="shared" si="24"/>
        <v>0</v>
      </c>
      <c r="AZ47" s="25">
        <f t="shared" si="25"/>
        <v>0</v>
      </c>
      <c r="BA47" s="25">
        <f t="shared" si="26"/>
        <v>0</v>
      </c>
      <c r="BB47" s="25">
        <f t="shared" si="27"/>
        <v>0</v>
      </c>
      <c r="BC47" s="25">
        <f t="shared" si="28"/>
        <v>0</v>
      </c>
      <c r="BD47" s="25">
        <f t="shared" si="29"/>
        <v>0</v>
      </c>
      <c r="BE47" s="25">
        <f t="shared" si="30"/>
        <v>0</v>
      </c>
      <c r="BF47" s="25">
        <f t="shared" si="31"/>
        <v>0</v>
      </c>
    </row>
    <row r="48" spans="1:58" s="25" customFormat="1" ht="15" customHeight="1" x14ac:dyDescent="0.25">
      <c r="A48" s="38" t="s">
        <v>124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33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43"/>
      <c r="Y48" s="23"/>
      <c r="Z48" s="23"/>
      <c r="AA48" s="23"/>
      <c r="AB48" s="24">
        <f t="shared" si="34"/>
        <v>0</v>
      </c>
      <c r="AC48" s="24">
        <f t="shared" si="3"/>
        <v>0</v>
      </c>
      <c r="AD48" s="25">
        <v>0</v>
      </c>
      <c r="AE48" s="25">
        <f t="shared" si="4"/>
        <v>0</v>
      </c>
      <c r="AF48" s="25">
        <f t="shared" si="5"/>
        <v>0</v>
      </c>
      <c r="AG48" s="25">
        <f t="shared" si="6"/>
        <v>0</v>
      </c>
      <c r="AH48" s="25">
        <f t="shared" si="7"/>
        <v>0</v>
      </c>
      <c r="AI48" s="25">
        <f t="shared" si="8"/>
        <v>0</v>
      </c>
      <c r="AJ48" s="25">
        <f t="shared" si="9"/>
        <v>0</v>
      </c>
      <c r="AK48" s="25">
        <f t="shared" si="10"/>
        <v>0</v>
      </c>
      <c r="AL48" s="25">
        <f t="shared" si="11"/>
        <v>0</v>
      </c>
      <c r="AM48" s="25">
        <f t="shared" si="12"/>
        <v>0</v>
      </c>
      <c r="AN48" s="25">
        <f t="shared" si="13"/>
        <v>0</v>
      </c>
      <c r="AO48" s="25">
        <f t="shared" si="14"/>
        <v>0</v>
      </c>
      <c r="AP48" s="25">
        <f t="shared" si="15"/>
        <v>0</v>
      </c>
      <c r="AQ48" s="25">
        <f t="shared" si="16"/>
        <v>0</v>
      </c>
      <c r="AR48" s="25">
        <f t="shared" si="17"/>
        <v>0</v>
      </c>
      <c r="AS48" s="25">
        <f t="shared" si="18"/>
        <v>0</v>
      </c>
      <c r="AT48" s="25">
        <f t="shared" si="19"/>
        <v>0</v>
      </c>
      <c r="AU48" s="25">
        <f t="shared" si="20"/>
        <v>0</v>
      </c>
      <c r="AV48" s="25">
        <f t="shared" si="21"/>
        <v>0</v>
      </c>
      <c r="AW48" s="25">
        <f t="shared" si="22"/>
        <v>0</v>
      </c>
      <c r="AX48" s="25">
        <f t="shared" si="23"/>
        <v>0</v>
      </c>
      <c r="AY48" s="25">
        <f t="shared" si="24"/>
        <v>0</v>
      </c>
      <c r="AZ48" s="25">
        <f t="shared" si="25"/>
        <v>0</v>
      </c>
      <c r="BA48" s="25">
        <f t="shared" si="26"/>
        <v>0</v>
      </c>
      <c r="BB48" s="25">
        <f t="shared" si="27"/>
        <v>0</v>
      </c>
      <c r="BC48" s="25">
        <f t="shared" si="28"/>
        <v>0</v>
      </c>
      <c r="BD48" s="25">
        <f t="shared" si="29"/>
        <v>0</v>
      </c>
      <c r="BE48" s="25">
        <f t="shared" si="30"/>
        <v>0</v>
      </c>
      <c r="BF48" s="25">
        <f t="shared" si="31"/>
        <v>0</v>
      </c>
    </row>
    <row r="49" spans="1:58" s="25" customFormat="1" ht="15" customHeight="1" x14ac:dyDescent="0.25">
      <c r="A49" s="38" t="s">
        <v>125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33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43"/>
      <c r="Y49" s="23"/>
      <c r="Z49" s="23"/>
      <c r="AA49" s="23"/>
      <c r="AB49" s="24">
        <f t="shared" si="34"/>
        <v>24</v>
      </c>
      <c r="AC49" s="24">
        <f t="shared" si="3"/>
        <v>35</v>
      </c>
      <c r="AD49" s="25">
        <v>3.5</v>
      </c>
      <c r="AE49" s="25">
        <f t="shared" si="4"/>
        <v>206.5</v>
      </c>
      <c r="AF49" s="25">
        <f t="shared" si="5"/>
        <v>0</v>
      </c>
      <c r="AG49" s="25">
        <f t="shared" si="6"/>
        <v>0</v>
      </c>
      <c r="AH49" s="25">
        <f t="shared" si="7"/>
        <v>0</v>
      </c>
      <c r="AI49" s="25">
        <f t="shared" si="8"/>
        <v>0</v>
      </c>
      <c r="AJ49" s="25">
        <f t="shared" si="9"/>
        <v>0</v>
      </c>
      <c r="AK49" s="25">
        <f t="shared" si="10"/>
        <v>0</v>
      </c>
      <c r="AL49" s="25">
        <f t="shared" si="11"/>
        <v>0</v>
      </c>
      <c r="AM49" s="25">
        <f t="shared" si="12"/>
        <v>206.5</v>
      </c>
      <c r="AN49" s="25">
        <f t="shared" si="13"/>
        <v>0</v>
      </c>
      <c r="AO49" s="25">
        <f t="shared" si="14"/>
        <v>0</v>
      </c>
      <c r="AP49" s="25">
        <f t="shared" si="15"/>
        <v>84</v>
      </c>
      <c r="AQ49" s="25">
        <f t="shared" si="16"/>
        <v>0</v>
      </c>
      <c r="AR49" s="25">
        <f t="shared" si="17"/>
        <v>0</v>
      </c>
      <c r="AS49" s="25">
        <f t="shared" si="18"/>
        <v>0</v>
      </c>
      <c r="AT49" s="25">
        <f t="shared" si="19"/>
        <v>0</v>
      </c>
      <c r="AU49" s="25">
        <f t="shared" si="20"/>
        <v>0</v>
      </c>
      <c r="AV49" s="25">
        <f t="shared" si="21"/>
        <v>0</v>
      </c>
      <c r="AW49" s="25">
        <f t="shared" si="22"/>
        <v>0</v>
      </c>
      <c r="AX49" s="25">
        <f t="shared" si="23"/>
        <v>0</v>
      </c>
      <c r="AY49" s="25">
        <f t="shared" si="24"/>
        <v>0</v>
      </c>
      <c r="AZ49" s="25">
        <f t="shared" si="25"/>
        <v>0</v>
      </c>
      <c r="BA49" s="25">
        <f t="shared" si="26"/>
        <v>0</v>
      </c>
      <c r="BB49" s="25">
        <f t="shared" si="27"/>
        <v>0</v>
      </c>
      <c r="BC49" s="25">
        <f t="shared" si="28"/>
        <v>0</v>
      </c>
      <c r="BD49" s="25">
        <f t="shared" si="29"/>
        <v>0</v>
      </c>
      <c r="BE49" s="25">
        <f t="shared" si="30"/>
        <v>84</v>
      </c>
      <c r="BF49" s="25">
        <f t="shared" si="31"/>
        <v>122.5</v>
      </c>
    </row>
    <row r="50" spans="1:58" s="25" customFormat="1" ht="15" customHeight="1" x14ac:dyDescent="0.25">
      <c r="A50" s="38" t="s">
        <v>126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33"/>
        <v>124</v>
      </c>
      <c r="K50" s="21"/>
      <c r="L50" s="23"/>
      <c r="M50" s="23"/>
      <c r="N50" s="43"/>
      <c r="O50" s="43"/>
      <c r="P50" s="23"/>
      <c r="Q50" s="23"/>
      <c r="R50" s="23"/>
      <c r="S50" s="23">
        <v>136</v>
      </c>
      <c r="T50" s="23"/>
      <c r="U50" s="23"/>
      <c r="V50" s="23"/>
      <c r="W50" s="23"/>
      <c r="X50" s="43"/>
      <c r="Y50" s="23"/>
      <c r="Z50" s="23"/>
      <c r="AA50" s="23">
        <v>22</v>
      </c>
      <c r="AB50" s="24">
        <f t="shared" si="34"/>
        <v>0</v>
      </c>
      <c r="AC50" s="24">
        <f t="shared" si="3"/>
        <v>124</v>
      </c>
      <c r="AD50" s="25">
        <v>2.66</v>
      </c>
      <c r="AE50" s="25">
        <f t="shared" si="4"/>
        <v>329.84000000000003</v>
      </c>
      <c r="AF50" s="25">
        <f t="shared" si="5"/>
        <v>0</v>
      </c>
      <c r="AG50" s="25">
        <f t="shared" si="6"/>
        <v>0</v>
      </c>
      <c r="AH50" s="25">
        <f t="shared" si="7"/>
        <v>0</v>
      </c>
      <c r="AI50" s="25">
        <f t="shared" si="8"/>
        <v>151.62</v>
      </c>
      <c r="AJ50" s="25">
        <f t="shared" si="9"/>
        <v>0</v>
      </c>
      <c r="AK50" s="25">
        <f t="shared" si="10"/>
        <v>0</v>
      </c>
      <c r="AL50" s="25">
        <f t="shared" si="11"/>
        <v>13.3</v>
      </c>
      <c r="AM50" s="25">
        <f t="shared" si="12"/>
        <v>329.84000000000003</v>
      </c>
      <c r="AN50" s="25">
        <f t="shared" si="13"/>
        <v>0</v>
      </c>
      <c r="AO50" s="25">
        <f t="shared" si="14"/>
        <v>0</v>
      </c>
      <c r="AP50" s="25">
        <f t="shared" si="15"/>
        <v>0</v>
      </c>
      <c r="AQ50" s="25">
        <f t="shared" si="16"/>
        <v>0</v>
      </c>
      <c r="AR50" s="25">
        <f t="shared" si="17"/>
        <v>0</v>
      </c>
      <c r="AS50" s="25">
        <f t="shared" si="18"/>
        <v>0</v>
      </c>
      <c r="AT50" s="25">
        <f t="shared" si="19"/>
        <v>0</v>
      </c>
      <c r="AU50" s="25">
        <f t="shared" si="20"/>
        <v>0</v>
      </c>
      <c r="AV50" s="25">
        <f t="shared" si="21"/>
        <v>361.76</v>
      </c>
      <c r="AW50" s="25">
        <f t="shared" si="22"/>
        <v>0</v>
      </c>
      <c r="AX50" s="25">
        <f t="shared" si="23"/>
        <v>0</v>
      </c>
      <c r="AY50" s="25">
        <f t="shared" si="24"/>
        <v>0</v>
      </c>
      <c r="AZ50" s="25">
        <f t="shared" si="25"/>
        <v>0</v>
      </c>
      <c r="BA50" s="25">
        <f t="shared" si="26"/>
        <v>0</v>
      </c>
      <c r="BB50" s="25">
        <f t="shared" si="27"/>
        <v>0</v>
      </c>
      <c r="BC50" s="25">
        <f t="shared" si="28"/>
        <v>0</v>
      </c>
      <c r="BD50" s="25">
        <f t="shared" si="29"/>
        <v>58.52</v>
      </c>
      <c r="BE50" s="25">
        <f t="shared" si="30"/>
        <v>0</v>
      </c>
      <c r="BF50" s="25">
        <f t="shared" si="31"/>
        <v>329.84000000000003</v>
      </c>
    </row>
    <row r="51" spans="1:58" s="25" customFormat="1" ht="15" customHeight="1" x14ac:dyDescent="0.25">
      <c r="A51" s="38" t="s">
        <v>127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33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43"/>
      <c r="Y51" s="23"/>
      <c r="Z51" s="23"/>
      <c r="AA51" s="23"/>
      <c r="AB51" s="24">
        <f t="shared" si="34"/>
        <v>0</v>
      </c>
      <c r="AC51" s="24">
        <f t="shared" si="3"/>
        <v>3</v>
      </c>
      <c r="AD51" s="25">
        <v>4.03</v>
      </c>
      <c r="AE51" s="25">
        <f t="shared" si="4"/>
        <v>12.09</v>
      </c>
      <c r="AF51" s="25">
        <f t="shared" si="5"/>
        <v>0</v>
      </c>
      <c r="AG51" s="25">
        <f t="shared" si="6"/>
        <v>0</v>
      </c>
      <c r="AH51" s="25">
        <f t="shared" si="7"/>
        <v>0</v>
      </c>
      <c r="AI51" s="25">
        <f t="shared" si="8"/>
        <v>0</v>
      </c>
      <c r="AJ51" s="25">
        <f t="shared" si="9"/>
        <v>0</v>
      </c>
      <c r="AK51" s="25">
        <f t="shared" si="10"/>
        <v>0</v>
      </c>
      <c r="AL51" s="25">
        <f t="shared" si="11"/>
        <v>0</v>
      </c>
      <c r="AM51" s="25">
        <f t="shared" si="12"/>
        <v>12.09</v>
      </c>
      <c r="AN51" s="25">
        <f t="shared" si="13"/>
        <v>0</v>
      </c>
      <c r="AO51" s="25">
        <f t="shared" si="14"/>
        <v>0</v>
      </c>
      <c r="AP51" s="25">
        <f t="shared" si="15"/>
        <v>0</v>
      </c>
      <c r="AQ51" s="25">
        <f t="shared" si="16"/>
        <v>0</v>
      </c>
      <c r="AR51" s="25">
        <f t="shared" si="17"/>
        <v>0</v>
      </c>
      <c r="AS51" s="25">
        <f t="shared" si="18"/>
        <v>0</v>
      </c>
      <c r="AT51" s="25">
        <f t="shared" si="19"/>
        <v>0</v>
      </c>
      <c r="AU51" s="25">
        <f t="shared" si="20"/>
        <v>0</v>
      </c>
      <c r="AV51" s="25">
        <f t="shared" si="21"/>
        <v>0</v>
      </c>
      <c r="AW51" s="25">
        <f t="shared" si="22"/>
        <v>0</v>
      </c>
      <c r="AX51" s="25">
        <f t="shared" si="23"/>
        <v>0</v>
      </c>
      <c r="AY51" s="25">
        <f t="shared" si="24"/>
        <v>0</v>
      </c>
      <c r="AZ51" s="25">
        <f t="shared" si="25"/>
        <v>0</v>
      </c>
      <c r="BA51" s="25">
        <f t="shared" si="26"/>
        <v>0</v>
      </c>
      <c r="BB51" s="25">
        <f t="shared" si="27"/>
        <v>0</v>
      </c>
      <c r="BC51" s="25">
        <f t="shared" si="28"/>
        <v>0</v>
      </c>
      <c r="BD51" s="25">
        <f t="shared" si="29"/>
        <v>0</v>
      </c>
      <c r="BE51" s="25">
        <f t="shared" si="30"/>
        <v>0</v>
      </c>
      <c r="BF51" s="25">
        <f t="shared" si="31"/>
        <v>12.09</v>
      </c>
    </row>
    <row r="52" spans="1:58" s="25" customFormat="1" ht="15" customHeight="1" x14ac:dyDescent="0.25">
      <c r="A52" s="38" t="s">
        <v>128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33"/>
        <v>0</v>
      </c>
      <c r="K52" s="21"/>
      <c r="L52" s="23"/>
      <c r="M52" s="23"/>
      <c r="N52" s="43"/>
      <c r="O52" s="43"/>
      <c r="P52" s="23"/>
      <c r="Q52" s="23"/>
      <c r="R52" s="23"/>
      <c r="S52" s="23"/>
      <c r="T52" s="23">
        <v>4</v>
      </c>
      <c r="U52" s="23"/>
      <c r="V52" s="23"/>
      <c r="W52" s="23"/>
      <c r="X52" s="43"/>
      <c r="Y52" s="23"/>
      <c r="Z52" s="23"/>
      <c r="AA52" s="23"/>
      <c r="AB52" s="24">
        <f t="shared" si="34"/>
        <v>0</v>
      </c>
      <c r="AC52" s="24">
        <f t="shared" si="3"/>
        <v>0</v>
      </c>
      <c r="AD52" s="25">
        <v>11.3</v>
      </c>
      <c r="AE52" s="25">
        <f t="shared" si="4"/>
        <v>0</v>
      </c>
      <c r="AF52" s="25">
        <f t="shared" si="5"/>
        <v>33.900000000000006</v>
      </c>
      <c r="AG52" s="25">
        <f t="shared" si="6"/>
        <v>0</v>
      </c>
      <c r="AH52" s="25">
        <f t="shared" si="7"/>
        <v>0</v>
      </c>
      <c r="AI52" s="25">
        <f t="shared" si="8"/>
        <v>0</v>
      </c>
      <c r="AJ52" s="25">
        <f t="shared" si="9"/>
        <v>11.3</v>
      </c>
      <c r="AK52" s="25">
        <f t="shared" si="10"/>
        <v>0</v>
      </c>
      <c r="AL52" s="25">
        <f t="shared" si="11"/>
        <v>0</v>
      </c>
      <c r="AM52" s="25">
        <f t="shared" si="12"/>
        <v>0</v>
      </c>
      <c r="AN52" s="25">
        <f t="shared" si="13"/>
        <v>0</v>
      </c>
      <c r="AO52" s="25">
        <f t="shared" si="14"/>
        <v>0</v>
      </c>
      <c r="AP52" s="25">
        <f t="shared" si="15"/>
        <v>0</v>
      </c>
      <c r="AQ52" s="25">
        <f t="shared" si="16"/>
        <v>0</v>
      </c>
      <c r="AR52" s="25">
        <f t="shared" si="17"/>
        <v>0</v>
      </c>
      <c r="AS52" s="25">
        <f t="shared" si="18"/>
        <v>0</v>
      </c>
      <c r="AT52" s="25">
        <f t="shared" si="19"/>
        <v>0</v>
      </c>
      <c r="AU52" s="25">
        <f t="shared" si="20"/>
        <v>0</v>
      </c>
      <c r="AV52" s="25">
        <f t="shared" si="21"/>
        <v>0</v>
      </c>
      <c r="AW52" s="25">
        <f t="shared" si="22"/>
        <v>45.2</v>
      </c>
      <c r="AX52" s="25">
        <f t="shared" si="23"/>
        <v>0</v>
      </c>
      <c r="AY52" s="25">
        <f t="shared" si="24"/>
        <v>0</v>
      </c>
      <c r="AZ52" s="25">
        <f t="shared" si="25"/>
        <v>0</v>
      </c>
      <c r="BA52" s="25">
        <f t="shared" si="26"/>
        <v>0</v>
      </c>
      <c r="BB52" s="25">
        <f t="shared" si="27"/>
        <v>0</v>
      </c>
      <c r="BC52" s="25">
        <f t="shared" si="28"/>
        <v>0</v>
      </c>
      <c r="BD52" s="25">
        <f t="shared" si="29"/>
        <v>0</v>
      </c>
      <c r="BE52" s="25">
        <f t="shared" si="30"/>
        <v>0</v>
      </c>
      <c r="BF52" s="25">
        <f t="shared" si="31"/>
        <v>0</v>
      </c>
    </row>
    <row r="53" spans="1:58" s="25" customFormat="1" ht="15" customHeight="1" x14ac:dyDescent="0.25">
      <c r="A53" s="38" t="s">
        <v>129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33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>
        <v>0</v>
      </c>
      <c r="U53" s="23"/>
      <c r="V53" s="23"/>
      <c r="W53" s="23"/>
      <c r="X53" s="43"/>
      <c r="Y53" s="23"/>
      <c r="Z53" s="23"/>
      <c r="AA53" s="23"/>
      <c r="AB53" s="24">
        <f t="shared" si="34"/>
        <v>0</v>
      </c>
      <c r="AC53" s="24">
        <f t="shared" si="3"/>
        <v>4</v>
      </c>
      <c r="AD53" s="25">
        <v>10.82</v>
      </c>
      <c r="AE53" s="25">
        <f t="shared" si="4"/>
        <v>43.28</v>
      </c>
      <c r="AF53" s="25">
        <f t="shared" si="5"/>
        <v>0</v>
      </c>
      <c r="AG53" s="25">
        <f t="shared" si="6"/>
        <v>0</v>
      </c>
      <c r="AH53" s="25">
        <f t="shared" si="7"/>
        <v>0</v>
      </c>
      <c r="AI53" s="25">
        <f t="shared" si="8"/>
        <v>0</v>
      </c>
      <c r="AJ53" s="25">
        <f t="shared" si="9"/>
        <v>0</v>
      </c>
      <c r="AK53" s="25">
        <f t="shared" si="10"/>
        <v>0</v>
      </c>
      <c r="AL53" s="25">
        <f t="shared" si="11"/>
        <v>0</v>
      </c>
      <c r="AM53" s="25">
        <f t="shared" si="12"/>
        <v>43.28</v>
      </c>
      <c r="AN53" s="25">
        <f t="shared" si="13"/>
        <v>0</v>
      </c>
      <c r="AO53" s="25">
        <f t="shared" si="14"/>
        <v>0</v>
      </c>
      <c r="AP53" s="25">
        <f t="shared" si="15"/>
        <v>0</v>
      </c>
      <c r="AQ53" s="25">
        <f t="shared" si="16"/>
        <v>0</v>
      </c>
      <c r="AR53" s="25">
        <f t="shared" si="17"/>
        <v>0</v>
      </c>
      <c r="AS53" s="25">
        <f t="shared" si="18"/>
        <v>0</v>
      </c>
      <c r="AT53" s="25">
        <f t="shared" si="19"/>
        <v>0</v>
      </c>
      <c r="AU53" s="25">
        <f t="shared" si="20"/>
        <v>0</v>
      </c>
      <c r="AV53" s="25">
        <f t="shared" si="21"/>
        <v>0</v>
      </c>
      <c r="AW53" s="25">
        <f t="shared" si="22"/>
        <v>0</v>
      </c>
      <c r="AX53" s="25">
        <f t="shared" si="23"/>
        <v>0</v>
      </c>
      <c r="AY53" s="25">
        <f t="shared" si="24"/>
        <v>0</v>
      </c>
      <c r="AZ53" s="25">
        <f t="shared" si="25"/>
        <v>0</v>
      </c>
      <c r="BA53" s="25">
        <f t="shared" si="26"/>
        <v>0</v>
      </c>
      <c r="BB53" s="25">
        <f t="shared" si="27"/>
        <v>0</v>
      </c>
      <c r="BC53" s="25">
        <f t="shared" si="28"/>
        <v>0</v>
      </c>
      <c r="BD53" s="25">
        <f t="shared" si="29"/>
        <v>0</v>
      </c>
      <c r="BE53" s="25">
        <f t="shared" si="30"/>
        <v>0</v>
      </c>
      <c r="BF53" s="25">
        <f t="shared" si="31"/>
        <v>43.28</v>
      </c>
    </row>
    <row r="54" spans="1:58" s="25" customFormat="1" ht="15" customHeight="1" x14ac:dyDescent="0.25">
      <c r="A54" s="38" t="s">
        <v>130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33"/>
        <v>0</v>
      </c>
      <c r="K54" s="21"/>
      <c r="L54" s="23"/>
      <c r="M54" s="23"/>
      <c r="N54" s="43"/>
      <c r="O54" s="43"/>
      <c r="P54" s="23"/>
      <c r="Q54" s="23"/>
      <c r="R54" s="23"/>
      <c r="S54" s="23"/>
      <c r="T54" s="23">
        <v>0</v>
      </c>
      <c r="U54" s="23"/>
      <c r="V54" s="23"/>
      <c r="W54" s="23"/>
      <c r="X54" s="43"/>
      <c r="Y54" s="23"/>
      <c r="Z54" s="23"/>
      <c r="AA54" s="23"/>
      <c r="AB54" s="24">
        <f t="shared" si="34"/>
        <v>0</v>
      </c>
      <c r="AC54" s="24">
        <f t="shared" si="3"/>
        <v>0</v>
      </c>
      <c r="AD54" s="25">
        <v>14.5</v>
      </c>
      <c r="AE54" s="25">
        <f t="shared" si="4"/>
        <v>0</v>
      </c>
      <c r="AF54" s="25">
        <f t="shared" si="5"/>
        <v>232</v>
      </c>
      <c r="AG54" s="25">
        <f t="shared" si="6"/>
        <v>0</v>
      </c>
      <c r="AH54" s="25">
        <f t="shared" si="7"/>
        <v>0</v>
      </c>
      <c r="AI54" s="25">
        <f t="shared" si="8"/>
        <v>0</v>
      </c>
      <c r="AJ54" s="25">
        <f t="shared" si="9"/>
        <v>14.5</v>
      </c>
      <c r="AK54" s="25">
        <f t="shared" si="10"/>
        <v>0</v>
      </c>
      <c r="AL54" s="25">
        <f t="shared" si="11"/>
        <v>0</v>
      </c>
      <c r="AM54" s="25">
        <f t="shared" si="12"/>
        <v>0</v>
      </c>
      <c r="AN54" s="25">
        <f t="shared" si="13"/>
        <v>0</v>
      </c>
      <c r="AO54" s="25">
        <f t="shared" si="14"/>
        <v>0</v>
      </c>
      <c r="AP54" s="25">
        <f t="shared" si="15"/>
        <v>0</v>
      </c>
      <c r="AQ54" s="25">
        <f t="shared" si="16"/>
        <v>0</v>
      </c>
      <c r="AR54" s="25">
        <f t="shared" si="17"/>
        <v>0</v>
      </c>
      <c r="AS54" s="25">
        <f t="shared" si="18"/>
        <v>0</v>
      </c>
      <c r="AT54" s="25">
        <f t="shared" si="19"/>
        <v>0</v>
      </c>
      <c r="AU54" s="25">
        <f t="shared" si="20"/>
        <v>0</v>
      </c>
      <c r="AV54" s="25">
        <f t="shared" si="21"/>
        <v>0</v>
      </c>
      <c r="AW54" s="25">
        <f t="shared" si="22"/>
        <v>0</v>
      </c>
      <c r="AX54" s="25">
        <f t="shared" si="23"/>
        <v>0</v>
      </c>
      <c r="AY54" s="25">
        <f t="shared" si="24"/>
        <v>0</v>
      </c>
      <c r="AZ54" s="25">
        <f t="shared" si="25"/>
        <v>0</v>
      </c>
      <c r="BA54" s="25">
        <f t="shared" si="26"/>
        <v>0</v>
      </c>
      <c r="BB54" s="25">
        <f t="shared" si="27"/>
        <v>0</v>
      </c>
      <c r="BC54" s="25">
        <f t="shared" si="28"/>
        <v>0</v>
      </c>
      <c r="BD54" s="25">
        <f t="shared" si="29"/>
        <v>0</v>
      </c>
      <c r="BE54" s="25">
        <f t="shared" si="30"/>
        <v>0</v>
      </c>
      <c r="BF54" s="25">
        <f t="shared" si="31"/>
        <v>0</v>
      </c>
    </row>
    <row r="55" spans="1:58" s="25" customFormat="1" ht="15" customHeight="1" x14ac:dyDescent="0.25">
      <c r="A55" s="38" t="s">
        <v>131</v>
      </c>
      <c r="B55" s="38">
        <v>171</v>
      </c>
      <c r="C55" s="27"/>
      <c r="D55" s="27">
        <v>16</v>
      </c>
      <c r="E55" s="20">
        <v>7</v>
      </c>
      <c r="F55" s="20">
        <v>193</v>
      </c>
      <c r="G55" s="20"/>
      <c r="H55" s="20">
        <v>459</v>
      </c>
      <c r="I55" s="20">
        <v>72</v>
      </c>
      <c r="J55" s="20">
        <f t="shared" si="33"/>
        <v>194</v>
      </c>
      <c r="K55" s="21"/>
      <c r="L55" s="23"/>
      <c r="M55" s="23"/>
      <c r="N55" s="43"/>
      <c r="O55" s="43"/>
      <c r="P55" s="23"/>
      <c r="Q55" s="23"/>
      <c r="R55" s="23"/>
      <c r="S55" s="23"/>
      <c r="T55" s="23">
        <v>20</v>
      </c>
      <c r="U55" s="23">
        <v>147</v>
      </c>
      <c r="V55" s="23">
        <v>50</v>
      </c>
      <c r="W55" s="23">
        <v>60</v>
      </c>
      <c r="X55" s="43">
        <v>3</v>
      </c>
      <c r="Y55" s="23">
        <v>22</v>
      </c>
      <c r="Z55" s="23"/>
      <c r="AA55" s="23">
        <v>3</v>
      </c>
      <c r="AB55" s="24">
        <f t="shared" si="34"/>
        <v>0</v>
      </c>
      <c r="AC55" s="24">
        <f t="shared" si="3"/>
        <v>194</v>
      </c>
      <c r="AD55" s="25">
        <v>11.2</v>
      </c>
      <c r="AE55" s="25">
        <f t="shared" si="4"/>
        <v>1915.1999999999998</v>
      </c>
      <c r="AF55" s="25">
        <f t="shared" si="5"/>
        <v>0</v>
      </c>
      <c r="AG55" s="25">
        <f t="shared" si="6"/>
        <v>179.2</v>
      </c>
      <c r="AH55" s="25">
        <f t="shared" si="7"/>
        <v>78.399999999999991</v>
      </c>
      <c r="AI55" s="25">
        <f t="shared" si="8"/>
        <v>2161.6</v>
      </c>
      <c r="AJ55" s="25">
        <f t="shared" si="9"/>
        <v>0</v>
      </c>
      <c r="AK55" s="25">
        <f t="shared" si="10"/>
        <v>5140.7999999999993</v>
      </c>
      <c r="AL55" s="25">
        <f t="shared" si="11"/>
        <v>806.4</v>
      </c>
      <c r="AM55" s="25">
        <f t="shared" si="12"/>
        <v>2172.7999999999997</v>
      </c>
      <c r="AN55" s="25">
        <f t="shared" si="13"/>
        <v>0</v>
      </c>
      <c r="AO55" s="25">
        <f t="shared" si="14"/>
        <v>0</v>
      </c>
      <c r="AP55" s="25">
        <f t="shared" si="15"/>
        <v>0</v>
      </c>
      <c r="AQ55" s="25">
        <f t="shared" si="16"/>
        <v>0</v>
      </c>
      <c r="AR55" s="25">
        <f t="shared" si="17"/>
        <v>0</v>
      </c>
      <c r="AS55" s="25">
        <f t="shared" si="18"/>
        <v>0</v>
      </c>
      <c r="AT55" s="25">
        <f t="shared" si="19"/>
        <v>0</v>
      </c>
      <c r="AU55" s="25">
        <f t="shared" si="20"/>
        <v>0</v>
      </c>
      <c r="AV55" s="25">
        <f t="shared" si="21"/>
        <v>0</v>
      </c>
      <c r="AW55" s="25">
        <f t="shared" si="22"/>
        <v>224</v>
      </c>
      <c r="AX55" s="25">
        <f t="shared" si="23"/>
        <v>1646.3999999999999</v>
      </c>
      <c r="AY55" s="25">
        <f t="shared" si="24"/>
        <v>560</v>
      </c>
      <c r="AZ55" s="25">
        <f t="shared" si="25"/>
        <v>672</v>
      </c>
      <c r="BA55" s="25">
        <f t="shared" si="26"/>
        <v>33.599999999999994</v>
      </c>
      <c r="BB55" s="25">
        <f t="shared" si="27"/>
        <v>246.39999999999998</v>
      </c>
      <c r="BC55" s="25">
        <f t="shared" si="28"/>
        <v>0</v>
      </c>
      <c r="BD55" s="25">
        <f t="shared" si="29"/>
        <v>33.599999999999994</v>
      </c>
      <c r="BE55" s="25">
        <f t="shared" si="30"/>
        <v>0</v>
      </c>
      <c r="BF55" s="25">
        <f t="shared" si="31"/>
        <v>2172.7999999999997</v>
      </c>
    </row>
    <row r="56" spans="1:58" s="25" customFormat="1" ht="15" customHeight="1" x14ac:dyDescent="0.25">
      <c r="A56" s="38" t="s">
        <v>132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33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43"/>
      <c r="Y56" s="23"/>
      <c r="Z56" s="23"/>
      <c r="AA56" s="23"/>
      <c r="AB56" s="24">
        <f t="shared" si="34"/>
        <v>0</v>
      </c>
      <c r="AC56" s="24">
        <f t="shared" si="3"/>
        <v>0</v>
      </c>
      <c r="AD56" s="25">
        <v>6.6</v>
      </c>
      <c r="AE56" s="25">
        <f t="shared" si="4"/>
        <v>0</v>
      </c>
      <c r="AF56" s="25">
        <f t="shared" si="5"/>
        <v>0</v>
      </c>
      <c r="AG56" s="25">
        <f t="shared" si="6"/>
        <v>0</v>
      </c>
      <c r="AH56" s="25">
        <f t="shared" si="7"/>
        <v>0</v>
      </c>
      <c r="AI56" s="25">
        <f t="shared" si="8"/>
        <v>0</v>
      </c>
      <c r="AJ56" s="25">
        <f t="shared" si="9"/>
        <v>0</v>
      </c>
      <c r="AK56" s="25">
        <f t="shared" si="10"/>
        <v>0</v>
      </c>
      <c r="AL56" s="25">
        <f t="shared" si="11"/>
        <v>0</v>
      </c>
      <c r="AM56" s="25">
        <f t="shared" si="12"/>
        <v>0</v>
      </c>
      <c r="AN56" s="25">
        <f t="shared" si="13"/>
        <v>0</v>
      </c>
      <c r="AO56" s="25">
        <f t="shared" si="14"/>
        <v>0</v>
      </c>
      <c r="AP56" s="25">
        <f t="shared" si="15"/>
        <v>0</v>
      </c>
      <c r="AQ56" s="25">
        <f t="shared" si="16"/>
        <v>0</v>
      </c>
      <c r="AR56" s="25">
        <f t="shared" si="17"/>
        <v>0</v>
      </c>
      <c r="AS56" s="25">
        <f t="shared" si="18"/>
        <v>0</v>
      </c>
      <c r="AT56" s="25">
        <f t="shared" si="19"/>
        <v>0</v>
      </c>
      <c r="AU56" s="25">
        <f t="shared" si="20"/>
        <v>0</v>
      </c>
      <c r="AV56" s="25">
        <f t="shared" si="21"/>
        <v>0</v>
      </c>
      <c r="AW56" s="25">
        <f t="shared" si="22"/>
        <v>0</v>
      </c>
      <c r="AX56" s="25">
        <f t="shared" si="23"/>
        <v>0</v>
      </c>
      <c r="AY56" s="25">
        <f t="shared" si="24"/>
        <v>0</v>
      </c>
      <c r="AZ56" s="25">
        <f t="shared" si="25"/>
        <v>0</v>
      </c>
      <c r="BA56" s="25">
        <f t="shared" si="26"/>
        <v>0</v>
      </c>
      <c r="BB56" s="25">
        <f t="shared" si="27"/>
        <v>0</v>
      </c>
      <c r="BC56" s="25">
        <f t="shared" si="28"/>
        <v>0</v>
      </c>
      <c r="BD56" s="25">
        <f t="shared" si="29"/>
        <v>0</v>
      </c>
      <c r="BE56" s="25">
        <f t="shared" si="30"/>
        <v>0</v>
      </c>
      <c r="BF56" s="25">
        <f t="shared" si="31"/>
        <v>0</v>
      </c>
    </row>
    <row r="57" spans="1:58" s="25" customFormat="1" ht="15" customHeight="1" x14ac:dyDescent="0.25">
      <c r="A57" s="38" t="s">
        <v>133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33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43"/>
      <c r="Y57" s="23"/>
      <c r="Z57" s="23"/>
      <c r="AA57" s="23"/>
      <c r="AB57" s="24">
        <f t="shared" si="34"/>
        <v>0</v>
      </c>
      <c r="AC57" s="24">
        <f t="shared" si="3"/>
        <v>0</v>
      </c>
      <c r="AD57" s="25">
        <v>9.9</v>
      </c>
      <c r="AE57" s="25">
        <f t="shared" si="4"/>
        <v>0</v>
      </c>
      <c r="AF57" s="25">
        <f t="shared" si="5"/>
        <v>0</v>
      </c>
      <c r="AG57" s="25">
        <f t="shared" si="6"/>
        <v>0</v>
      </c>
      <c r="AH57" s="25">
        <f t="shared" si="7"/>
        <v>0</v>
      </c>
      <c r="AI57" s="25">
        <f t="shared" si="8"/>
        <v>0</v>
      </c>
      <c r="AJ57" s="25">
        <f t="shared" si="9"/>
        <v>0</v>
      </c>
      <c r="AK57" s="25">
        <f t="shared" si="10"/>
        <v>0</v>
      </c>
      <c r="AL57" s="25">
        <f t="shared" si="11"/>
        <v>0</v>
      </c>
      <c r="AM57" s="25">
        <f t="shared" si="12"/>
        <v>0</v>
      </c>
      <c r="AN57" s="25">
        <f t="shared" si="13"/>
        <v>0</v>
      </c>
      <c r="AO57" s="25">
        <f t="shared" si="14"/>
        <v>0</v>
      </c>
      <c r="AP57" s="25">
        <f t="shared" si="15"/>
        <v>0</v>
      </c>
      <c r="AQ57" s="25">
        <f t="shared" si="16"/>
        <v>0</v>
      </c>
      <c r="AR57" s="25">
        <f t="shared" si="17"/>
        <v>0</v>
      </c>
      <c r="AS57" s="25">
        <f t="shared" si="18"/>
        <v>0</v>
      </c>
      <c r="AT57" s="25">
        <f t="shared" si="19"/>
        <v>0</v>
      </c>
      <c r="AU57" s="25">
        <f t="shared" si="20"/>
        <v>0</v>
      </c>
      <c r="AV57" s="25">
        <f t="shared" si="21"/>
        <v>0</v>
      </c>
      <c r="AW57" s="25">
        <f t="shared" si="22"/>
        <v>0</v>
      </c>
      <c r="AX57" s="25">
        <f t="shared" si="23"/>
        <v>0</v>
      </c>
      <c r="AY57" s="25">
        <f t="shared" si="24"/>
        <v>0</v>
      </c>
      <c r="AZ57" s="25">
        <f t="shared" si="25"/>
        <v>0</v>
      </c>
      <c r="BA57" s="25">
        <f t="shared" si="26"/>
        <v>0</v>
      </c>
      <c r="BB57" s="25">
        <f t="shared" si="27"/>
        <v>0</v>
      </c>
      <c r="BC57" s="25">
        <f t="shared" si="28"/>
        <v>0</v>
      </c>
      <c r="BD57" s="25">
        <f t="shared" si="29"/>
        <v>0</v>
      </c>
      <c r="BE57" s="25">
        <f t="shared" si="30"/>
        <v>0</v>
      </c>
      <c r="BF57" s="25">
        <f t="shared" si="31"/>
        <v>0</v>
      </c>
    </row>
    <row r="58" spans="1:58" s="25" customFormat="1" ht="15" customHeight="1" x14ac:dyDescent="0.25">
      <c r="A58" s="38" t="s">
        <v>134</v>
      </c>
      <c r="B58" s="38">
        <v>0</v>
      </c>
      <c r="C58" s="27"/>
      <c r="D58" s="27">
        <v>6</v>
      </c>
      <c r="E58" s="20">
        <v>38</v>
      </c>
      <c r="F58" s="20">
        <v>14</v>
      </c>
      <c r="G58" s="20"/>
      <c r="H58" s="20"/>
      <c r="I58" s="20">
        <v>54</v>
      </c>
      <c r="J58" s="20">
        <f t="shared" si="33"/>
        <v>44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43"/>
      <c r="Y58" s="23"/>
      <c r="Z58" s="23"/>
      <c r="AA58" s="23">
        <v>3</v>
      </c>
      <c r="AB58" s="24">
        <f t="shared" si="34"/>
        <v>0</v>
      </c>
      <c r="AC58" s="24">
        <f t="shared" si="3"/>
        <v>44</v>
      </c>
      <c r="AD58" s="25">
        <v>13.2</v>
      </c>
      <c r="AE58" s="25">
        <f t="shared" si="4"/>
        <v>0</v>
      </c>
      <c r="AF58" s="25">
        <f t="shared" si="5"/>
        <v>0</v>
      </c>
      <c r="AG58" s="25">
        <f t="shared" si="6"/>
        <v>79.199999999999989</v>
      </c>
      <c r="AH58" s="25">
        <f t="shared" si="7"/>
        <v>501.59999999999997</v>
      </c>
      <c r="AI58" s="25">
        <f t="shared" si="8"/>
        <v>184.79999999999998</v>
      </c>
      <c r="AJ58" s="25">
        <f t="shared" si="9"/>
        <v>0</v>
      </c>
      <c r="AK58" s="25">
        <f t="shared" si="10"/>
        <v>0</v>
      </c>
      <c r="AL58" s="25">
        <f t="shared" si="11"/>
        <v>712.8</v>
      </c>
      <c r="AM58" s="25">
        <f t="shared" si="12"/>
        <v>580.79999999999995</v>
      </c>
      <c r="AN58" s="25">
        <f t="shared" si="13"/>
        <v>0</v>
      </c>
      <c r="AO58" s="25">
        <f t="shared" si="14"/>
        <v>0</v>
      </c>
      <c r="AP58" s="25">
        <f t="shared" si="15"/>
        <v>0</v>
      </c>
      <c r="AQ58" s="25">
        <f t="shared" si="16"/>
        <v>0</v>
      </c>
      <c r="AR58" s="25">
        <f t="shared" si="17"/>
        <v>0</v>
      </c>
      <c r="AS58" s="25">
        <f t="shared" si="18"/>
        <v>0</v>
      </c>
      <c r="AT58" s="25">
        <f t="shared" si="19"/>
        <v>0</v>
      </c>
      <c r="AU58" s="25">
        <f t="shared" si="20"/>
        <v>0</v>
      </c>
      <c r="AV58" s="25">
        <f t="shared" si="21"/>
        <v>0</v>
      </c>
      <c r="AW58" s="25">
        <f t="shared" si="22"/>
        <v>0</v>
      </c>
      <c r="AX58" s="25">
        <f t="shared" si="23"/>
        <v>0</v>
      </c>
      <c r="AY58" s="25">
        <f t="shared" si="24"/>
        <v>0</v>
      </c>
      <c r="AZ58" s="25">
        <f t="shared" si="25"/>
        <v>0</v>
      </c>
      <c r="BA58" s="25">
        <f t="shared" si="26"/>
        <v>0</v>
      </c>
      <c r="BB58" s="25">
        <f t="shared" si="27"/>
        <v>0</v>
      </c>
      <c r="BC58" s="25">
        <f t="shared" si="28"/>
        <v>0</v>
      </c>
      <c r="BD58" s="25">
        <f t="shared" si="29"/>
        <v>39.599999999999994</v>
      </c>
      <c r="BE58" s="25">
        <f t="shared" si="30"/>
        <v>0</v>
      </c>
      <c r="BF58" s="25">
        <f t="shared" si="31"/>
        <v>580.79999999999995</v>
      </c>
    </row>
    <row r="59" spans="1:58" s="25" customFormat="1" ht="15" customHeight="1" x14ac:dyDescent="0.25">
      <c r="A59" s="38" t="s">
        <v>135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33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43"/>
      <c r="Y59" s="23"/>
      <c r="Z59" s="23"/>
      <c r="AA59" s="23">
        <v>0</v>
      </c>
      <c r="AB59" s="24">
        <f t="shared" si="34"/>
        <v>0</v>
      </c>
      <c r="AC59" s="24">
        <f t="shared" si="3"/>
        <v>0</v>
      </c>
      <c r="AD59" s="25">
        <v>13.2</v>
      </c>
      <c r="AE59" s="25">
        <f t="shared" si="4"/>
        <v>0</v>
      </c>
      <c r="AF59" s="25">
        <f t="shared" si="5"/>
        <v>0</v>
      </c>
      <c r="AG59" s="25">
        <f t="shared" si="6"/>
        <v>0</v>
      </c>
      <c r="AH59" s="25">
        <f t="shared" si="7"/>
        <v>0</v>
      </c>
      <c r="AI59" s="25">
        <f t="shared" si="8"/>
        <v>0</v>
      </c>
      <c r="AJ59" s="25">
        <f t="shared" si="9"/>
        <v>0</v>
      </c>
      <c r="AK59" s="25">
        <f t="shared" si="10"/>
        <v>0</v>
      </c>
      <c r="AL59" s="25">
        <f t="shared" si="11"/>
        <v>0</v>
      </c>
      <c r="AM59" s="25">
        <f t="shared" si="12"/>
        <v>0</v>
      </c>
      <c r="AN59" s="25">
        <f t="shared" si="13"/>
        <v>0</v>
      </c>
      <c r="AO59" s="25">
        <f t="shared" si="14"/>
        <v>0</v>
      </c>
      <c r="AP59" s="25">
        <f t="shared" si="15"/>
        <v>0</v>
      </c>
      <c r="AQ59" s="25">
        <f t="shared" si="16"/>
        <v>0</v>
      </c>
      <c r="AR59" s="25">
        <f t="shared" si="17"/>
        <v>0</v>
      </c>
      <c r="AS59" s="25">
        <f t="shared" si="18"/>
        <v>0</v>
      </c>
      <c r="AT59" s="25">
        <f t="shared" si="19"/>
        <v>0</v>
      </c>
      <c r="AU59" s="25">
        <f t="shared" si="20"/>
        <v>0</v>
      </c>
      <c r="AV59" s="25">
        <f t="shared" si="21"/>
        <v>0</v>
      </c>
      <c r="AW59" s="25">
        <f t="shared" si="22"/>
        <v>0</v>
      </c>
      <c r="AX59" s="25">
        <f t="shared" si="23"/>
        <v>0</v>
      </c>
      <c r="AY59" s="25">
        <f t="shared" si="24"/>
        <v>0</v>
      </c>
      <c r="AZ59" s="25">
        <f t="shared" si="25"/>
        <v>0</v>
      </c>
      <c r="BA59" s="25">
        <f t="shared" si="26"/>
        <v>0</v>
      </c>
      <c r="BB59" s="25">
        <f t="shared" si="27"/>
        <v>0</v>
      </c>
      <c r="BC59" s="25">
        <f t="shared" si="28"/>
        <v>0</v>
      </c>
      <c r="BD59" s="25">
        <f t="shared" si="29"/>
        <v>0</v>
      </c>
      <c r="BE59" s="25">
        <f t="shared" si="30"/>
        <v>0</v>
      </c>
      <c r="BF59" s="25">
        <f t="shared" si="31"/>
        <v>0</v>
      </c>
    </row>
    <row r="60" spans="1:58" s="25" customFormat="1" ht="15" customHeight="1" x14ac:dyDescent="0.25">
      <c r="A60" s="38" t="s">
        <v>136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33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43"/>
      <c r="Y60" s="23"/>
      <c r="Z60" s="23"/>
      <c r="AA60" s="23"/>
      <c r="AB60" s="24">
        <f t="shared" si="34"/>
        <v>0</v>
      </c>
      <c r="AC60" s="24">
        <f t="shared" si="3"/>
        <v>0</v>
      </c>
      <c r="AD60" s="25">
        <v>13.2</v>
      </c>
      <c r="AE60" s="25">
        <f t="shared" si="4"/>
        <v>0</v>
      </c>
      <c r="AF60" s="25">
        <f t="shared" si="5"/>
        <v>0</v>
      </c>
      <c r="AG60" s="25">
        <f t="shared" si="6"/>
        <v>0</v>
      </c>
      <c r="AH60" s="25">
        <f t="shared" si="7"/>
        <v>0</v>
      </c>
      <c r="AI60" s="25">
        <f t="shared" si="8"/>
        <v>0</v>
      </c>
      <c r="AJ60" s="25">
        <f t="shared" si="9"/>
        <v>0</v>
      </c>
      <c r="AK60" s="25">
        <f t="shared" si="10"/>
        <v>0</v>
      </c>
      <c r="AL60" s="25">
        <f t="shared" si="11"/>
        <v>0</v>
      </c>
      <c r="AM60" s="25">
        <f t="shared" si="12"/>
        <v>0</v>
      </c>
      <c r="AN60" s="25">
        <f t="shared" si="13"/>
        <v>0</v>
      </c>
      <c r="AO60" s="25">
        <f t="shared" si="14"/>
        <v>0</v>
      </c>
      <c r="AP60" s="25">
        <f t="shared" si="15"/>
        <v>0</v>
      </c>
      <c r="AQ60" s="25">
        <f t="shared" si="16"/>
        <v>0</v>
      </c>
      <c r="AR60" s="25">
        <f t="shared" si="17"/>
        <v>0</v>
      </c>
      <c r="AS60" s="25">
        <f t="shared" si="18"/>
        <v>0</v>
      </c>
      <c r="AT60" s="25">
        <f t="shared" si="19"/>
        <v>0</v>
      </c>
      <c r="AU60" s="25">
        <f t="shared" si="20"/>
        <v>0</v>
      </c>
      <c r="AV60" s="25">
        <f t="shared" si="21"/>
        <v>0</v>
      </c>
      <c r="AW60" s="25">
        <f t="shared" si="22"/>
        <v>0</v>
      </c>
      <c r="AX60" s="25">
        <f t="shared" si="23"/>
        <v>0</v>
      </c>
      <c r="AY60" s="25">
        <f t="shared" si="24"/>
        <v>0</v>
      </c>
      <c r="AZ60" s="25">
        <f t="shared" si="25"/>
        <v>0</v>
      </c>
      <c r="BA60" s="25">
        <f t="shared" si="26"/>
        <v>0</v>
      </c>
      <c r="BB60" s="25">
        <f t="shared" si="27"/>
        <v>0</v>
      </c>
      <c r="BC60" s="25">
        <f t="shared" si="28"/>
        <v>0</v>
      </c>
      <c r="BD60" s="25">
        <f t="shared" si="29"/>
        <v>0</v>
      </c>
      <c r="BE60" s="25">
        <f t="shared" si="30"/>
        <v>0</v>
      </c>
      <c r="BF60" s="25">
        <f t="shared" si="31"/>
        <v>0</v>
      </c>
    </row>
    <row r="61" spans="1:58" s="25" customFormat="1" ht="15" customHeight="1" x14ac:dyDescent="0.25">
      <c r="A61" s="38" t="s">
        <v>137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33"/>
        <v>407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>
        <v>33</v>
      </c>
      <c r="X61" s="43"/>
      <c r="Y61" s="23">
        <v>197</v>
      </c>
      <c r="Z61" s="23"/>
      <c r="AA61" s="23"/>
      <c r="AB61" s="24">
        <f t="shared" si="34"/>
        <v>0</v>
      </c>
      <c r="AC61" s="24">
        <f t="shared" si="3"/>
        <v>407</v>
      </c>
      <c r="AD61" s="25">
        <v>6.6</v>
      </c>
      <c r="AE61" s="25">
        <f t="shared" si="4"/>
        <v>2527.7999999999997</v>
      </c>
      <c r="AF61" s="25">
        <f t="shared" si="5"/>
        <v>0</v>
      </c>
      <c r="AG61" s="25">
        <f t="shared" si="6"/>
        <v>158.39999999999998</v>
      </c>
      <c r="AH61" s="25">
        <f t="shared" si="7"/>
        <v>0</v>
      </c>
      <c r="AI61" s="25">
        <f t="shared" si="8"/>
        <v>877.8</v>
      </c>
      <c r="AJ61" s="25">
        <f t="shared" si="9"/>
        <v>0</v>
      </c>
      <c r="AK61" s="25">
        <f t="shared" si="10"/>
        <v>679.8</v>
      </c>
      <c r="AL61" s="25">
        <f t="shared" si="11"/>
        <v>798.59999999999991</v>
      </c>
      <c r="AM61" s="25">
        <f t="shared" si="12"/>
        <v>2686.2</v>
      </c>
      <c r="AN61" s="25">
        <f t="shared" si="13"/>
        <v>0</v>
      </c>
      <c r="AO61" s="25">
        <f t="shared" si="14"/>
        <v>0</v>
      </c>
      <c r="AP61" s="25">
        <f t="shared" si="15"/>
        <v>0</v>
      </c>
      <c r="AQ61" s="25">
        <f t="shared" si="16"/>
        <v>0</v>
      </c>
      <c r="AR61" s="25">
        <f t="shared" si="17"/>
        <v>0</v>
      </c>
      <c r="AS61" s="25">
        <f t="shared" si="18"/>
        <v>0</v>
      </c>
      <c r="AT61" s="25">
        <f t="shared" si="19"/>
        <v>0</v>
      </c>
      <c r="AU61" s="25">
        <f t="shared" si="20"/>
        <v>0</v>
      </c>
      <c r="AV61" s="25">
        <f t="shared" si="21"/>
        <v>0</v>
      </c>
      <c r="AW61" s="25">
        <f t="shared" si="22"/>
        <v>0</v>
      </c>
      <c r="AX61" s="25">
        <f t="shared" si="23"/>
        <v>0</v>
      </c>
      <c r="AY61" s="25">
        <f t="shared" si="24"/>
        <v>0</v>
      </c>
      <c r="AZ61" s="25">
        <f t="shared" si="25"/>
        <v>217.79999999999998</v>
      </c>
      <c r="BA61" s="25">
        <f t="shared" si="26"/>
        <v>0</v>
      </c>
      <c r="BB61" s="25">
        <f t="shared" si="27"/>
        <v>1300.1999999999998</v>
      </c>
      <c r="BC61" s="25">
        <f t="shared" si="28"/>
        <v>0</v>
      </c>
      <c r="BD61" s="25">
        <f t="shared" si="29"/>
        <v>0</v>
      </c>
      <c r="BE61" s="25">
        <f t="shared" si="30"/>
        <v>0</v>
      </c>
      <c r="BF61" s="25">
        <f t="shared" si="31"/>
        <v>2686.2</v>
      </c>
    </row>
    <row r="62" spans="1:58" s="25" customFormat="1" ht="15" customHeight="1" x14ac:dyDescent="0.25">
      <c r="A62" s="38" t="s">
        <v>138</v>
      </c>
      <c r="B62" s="38">
        <v>171</v>
      </c>
      <c r="C62" s="27"/>
      <c r="D62" s="27">
        <v>16</v>
      </c>
      <c r="E62" s="20">
        <v>7</v>
      </c>
      <c r="F62" s="20">
        <v>193</v>
      </c>
      <c r="G62" s="20"/>
      <c r="H62" s="20">
        <v>459</v>
      </c>
      <c r="I62" s="20">
        <v>72</v>
      </c>
      <c r="J62" s="20">
        <f t="shared" si="33"/>
        <v>194</v>
      </c>
      <c r="K62" s="21"/>
      <c r="L62" s="23"/>
      <c r="M62" s="23"/>
      <c r="N62" s="43"/>
      <c r="O62" s="43"/>
      <c r="P62" s="23"/>
      <c r="Q62" s="23"/>
      <c r="R62" s="23"/>
      <c r="S62" s="23"/>
      <c r="T62" s="23">
        <v>20</v>
      </c>
      <c r="U62" s="23">
        <v>147</v>
      </c>
      <c r="V62" s="23">
        <v>50</v>
      </c>
      <c r="W62" s="23">
        <v>60</v>
      </c>
      <c r="X62" s="43">
        <v>3</v>
      </c>
      <c r="Y62" s="23">
        <v>22</v>
      </c>
      <c r="Z62" s="23"/>
      <c r="AA62" s="23">
        <v>3</v>
      </c>
      <c r="AB62" s="24">
        <f t="shared" si="34"/>
        <v>0</v>
      </c>
      <c r="AC62" s="24">
        <f t="shared" si="3"/>
        <v>194</v>
      </c>
      <c r="AD62" s="25">
        <v>9.3000000000000007</v>
      </c>
      <c r="AE62" s="25">
        <f t="shared" si="4"/>
        <v>1590.3000000000002</v>
      </c>
      <c r="AF62" s="25">
        <f t="shared" si="5"/>
        <v>0</v>
      </c>
      <c r="AG62" s="25">
        <f t="shared" si="6"/>
        <v>148.80000000000001</v>
      </c>
      <c r="AH62" s="25">
        <f t="shared" si="7"/>
        <v>65.100000000000009</v>
      </c>
      <c r="AI62" s="25">
        <f t="shared" si="8"/>
        <v>1794.9</v>
      </c>
      <c r="AJ62" s="25">
        <f t="shared" si="9"/>
        <v>0</v>
      </c>
      <c r="AK62" s="25">
        <f t="shared" si="10"/>
        <v>4268.7000000000007</v>
      </c>
      <c r="AL62" s="25">
        <f t="shared" si="11"/>
        <v>669.6</v>
      </c>
      <c r="AM62" s="25">
        <f t="shared" si="12"/>
        <v>1804.2</v>
      </c>
      <c r="AN62" s="25">
        <f t="shared" si="13"/>
        <v>0</v>
      </c>
      <c r="AO62" s="25">
        <f t="shared" si="14"/>
        <v>0</v>
      </c>
      <c r="AP62" s="25">
        <f t="shared" si="15"/>
        <v>0</v>
      </c>
      <c r="AQ62" s="25">
        <f t="shared" si="16"/>
        <v>0</v>
      </c>
      <c r="AR62" s="25">
        <f t="shared" si="17"/>
        <v>0</v>
      </c>
      <c r="AS62" s="25">
        <f t="shared" si="18"/>
        <v>0</v>
      </c>
      <c r="AT62" s="25">
        <f t="shared" si="19"/>
        <v>0</v>
      </c>
      <c r="AU62" s="25">
        <f t="shared" si="20"/>
        <v>0</v>
      </c>
      <c r="AV62" s="25">
        <f t="shared" si="21"/>
        <v>0</v>
      </c>
      <c r="AW62" s="25">
        <f t="shared" si="22"/>
        <v>186</v>
      </c>
      <c r="AX62" s="25">
        <f t="shared" si="23"/>
        <v>1367.1000000000001</v>
      </c>
      <c r="AY62" s="25">
        <f t="shared" si="24"/>
        <v>465.00000000000006</v>
      </c>
      <c r="AZ62" s="25">
        <f t="shared" si="25"/>
        <v>558</v>
      </c>
      <c r="BA62" s="25">
        <f t="shared" si="26"/>
        <v>27.900000000000002</v>
      </c>
      <c r="BB62" s="25">
        <f t="shared" si="27"/>
        <v>204.60000000000002</v>
      </c>
      <c r="BC62" s="25">
        <f t="shared" si="28"/>
        <v>0</v>
      </c>
      <c r="BD62" s="25">
        <f t="shared" si="29"/>
        <v>27.900000000000002</v>
      </c>
      <c r="BE62" s="25">
        <f t="shared" si="30"/>
        <v>0</v>
      </c>
      <c r="BF62" s="25">
        <f t="shared" si="31"/>
        <v>1804.2</v>
      </c>
    </row>
    <row r="63" spans="1:58" s="25" customFormat="1" ht="15" customHeight="1" x14ac:dyDescent="0.25">
      <c r="A63" s="38" t="s">
        <v>139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33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43"/>
      <c r="Y63" s="23"/>
      <c r="Z63" s="23"/>
      <c r="AA63" s="23"/>
      <c r="AB63" s="24">
        <f t="shared" si="34"/>
        <v>0</v>
      </c>
      <c r="AC63" s="24">
        <f t="shared" si="3"/>
        <v>0</v>
      </c>
      <c r="AD63" s="25">
        <v>5.4</v>
      </c>
      <c r="AE63" s="25">
        <f t="shared" si="4"/>
        <v>0</v>
      </c>
      <c r="AF63" s="25">
        <f t="shared" si="5"/>
        <v>0</v>
      </c>
      <c r="AG63" s="25">
        <f t="shared" si="6"/>
        <v>0</v>
      </c>
      <c r="AH63" s="25">
        <f t="shared" si="7"/>
        <v>0</v>
      </c>
      <c r="AI63" s="25">
        <f t="shared" si="8"/>
        <v>0</v>
      </c>
      <c r="AJ63" s="25">
        <f t="shared" si="9"/>
        <v>0</v>
      </c>
      <c r="AK63" s="25">
        <f t="shared" si="10"/>
        <v>0</v>
      </c>
      <c r="AL63" s="25">
        <f t="shared" si="11"/>
        <v>0</v>
      </c>
      <c r="AM63" s="25">
        <f t="shared" si="12"/>
        <v>0</v>
      </c>
      <c r="AN63" s="25">
        <f t="shared" si="13"/>
        <v>0</v>
      </c>
      <c r="AO63" s="25">
        <f t="shared" si="14"/>
        <v>0</v>
      </c>
      <c r="AP63" s="25">
        <f t="shared" si="15"/>
        <v>0</v>
      </c>
      <c r="AQ63" s="25">
        <f t="shared" si="16"/>
        <v>0</v>
      </c>
      <c r="AR63" s="25">
        <f t="shared" si="17"/>
        <v>0</v>
      </c>
      <c r="AS63" s="25">
        <f t="shared" si="18"/>
        <v>0</v>
      </c>
      <c r="AT63" s="25">
        <f t="shared" si="19"/>
        <v>0</v>
      </c>
      <c r="AU63" s="25">
        <f t="shared" si="20"/>
        <v>0</v>
      </c>
      <c r="AV63" s="25">
        <f t="shared" si="21"/>
        <v>0</v>
      </c>
      <c r="AW63" s="25">
        <f t="shared" si="22"/>
        <v>0</v>
      </c>
      <c r="AX63" s="25">
        <f t="shared" si="23"/>
        <v>0</v>
      </c>
      <c r="AY63" s="25">
        <f t="shared" si="24"/>
        <v>0</v>
      </c>
      <c r="AZ63" s="25">
        <f t="shared" si="25"/>
        <v>0</v>
      </c>
      <c r="BA63" s="25">
        <f t="shared" si="26"/>
        <v>0</v>
      </c>
      <c r="BB63" s="25">
        <f t="shared" si="27"/>
        <v>0</v>
      </c>
      <c r="BC63" s="25">
        <f t="shared" si="28"/>
        <v>0</v>
      </c>
      <c r="BD63" s="25">
        <f t="shared" si="29"/>
        <v>0</v>
      </c>
      <c r="BE63" s="25">
        <f t="shared" si="30"/>
        <v>0</v>
      </c>
      <c r="BF63" s="25">
        <f t="shared" si="31"/>
        <v>0</v>
      </c>
    </row>
    <row r="64" spans="1:58" s="25" customFormat="1" ht="15" customHeight="1" x14ac:dyDescent="0.25">
      <c r="A64" s="38" t="s">
        <v>140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33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43"/>
      <c r="Y64" s="23"/>
      <c r="Z64" s="23"/>
      <c r="AA64" s="23"/>
      <c r="AB64" s="24">
        <f t="shared" si="34"/>
        <v>0</v>
      </c>
      <c r="AC64" s="24">
        <f t="shared" si="3"/>
        <v>0</v>
      </c>
      <c r="AD64" s="25">
        <v>8.1</v>
      </c>
      <c r="AE64" s="25">
        <f t="shared" si="4"/>
        <v>0</v>
      </c>
      <c r="AF64" s="25">
        <f t="shared" si="5"/>
        <v>0</v>
      </c>
      <c r="AG64" s="25">
        <f t="shared" si="6"/>
        <v>0</v>
      </c>
      <c r="AH64" s="25">
        <f t="shared" si="7"/>
        <v>0</v>
      </c>
      <c r="AI64" s="25">
        <f t="shared" si="8"/>
        <v>0</v>
      </c>
      <c r="AJ64" s="25">
        <f t="shared" si="9"/>
        <v>0</v>
      </c>
      <c r="AK64" s="25">
        <f t="shared" si="10"/>
        <v>0</v>
      </c>
      <c r="AL64" s="25">
        <f t="shared" si="11"/>
        <v>0</v>
      </c>
      <c r="AM64" s="25">
        <f t="shared" si="12"/>
        <v>0</v>
      </c>
      <c r="AN64" s="25">
        <f t="shared" si="13"/>
        <v>0</v>
      </c>
      <c r="AO64" s="25">
        <f t="shared" si="14"/>
        <v>0</v>
      </c>
      <c r="AP64" s="25">
        <f t="shared" si="15"/>
        <v>0</v>
      </c>
      <c r="AQ64" s="25">
        <f t="shared" si="16"/>
        <v>0</v>
      </c>
      <c r="AR64" s="25">
        <f t="shared" si="17"/>
        <v>0</v>
      </c>
      <c r="AS64" s="25">
        <f t="shared" si="18"/>
        <v>0</v>
      </c>
      <c r="AT64" s="25">
        <f t="shared" si="19"/>
        <v>0</v>
      </c>
      <c r="AU64" s="25">
        <f t="shared" si="20"/>
        <v>0</v>
      </c>
      <c r="AV64" s="25">
        <f t="shared" si="21"/>
        <v>0</v>
      </c>
      <c r="AW64" s="25">
        <f t="shared" si="22"/>
        <v>0</v>
      </c>
      <c r="AX64" s="25">
        <f t="shared" si="23"/>
        <v>0</v>
      </c>
      <c r="AY64" s="25">
        <f t="shared" si="24"/>
        <v>0</v>
      </c>
      <c r="AZ64" s="25">
        <f t="shared" si="25"/>
        <v>0</v>
      </c>
      <c r="BA64" s="25">
        <f t="shared" si="26"/>
        <v>0</v>
      </c>
      <c r="BB64" s="25">
        <f t="shared" si="27"/>
        <v>0</v>
      </c>
      <c r="BC64" s="25">
        <f t="shared" si="28"/>
        <v>0</v>
      </c>
      <c r="BD64" s="25">
        <f t="shared" si="29"/>
        <v>0</v>
      </c>
      <c r="BE64" s="25">
        <f t="shared" si="30"/>
        <v>0</v>
      </c>
      <c r="BF64" s="25">
        <f t="shared" si="31"/>
        <v>0</v>
      </c>
    </row>
    <row r="65" spans="1:58" s="25" customFormat="1" ht="15" customHeight="1" x14ac:dyDescent="0.25">
      <c r="A65" s="38" t="s">
        <v>141</v>
      </c>
      <c r="B65" s="38">
        <v>0</v>
      </c>
      <c r="C65" s="27"/>
      <c r="D65" s="27">
        <v>6</v>
      </c>
      <c r="E65" s="20">
        <v>38</v>
      </c>
      <c r="F65" s="20">
        <v>14</v>
      </c>
      <c r="G65" s="20"/>
      <c r="H65" s="20"/>
      <c r="I65" s="20">
        <v>54</v>
      </c>
      <c r="J65" s="20">
        <f t="shared" si="33"/>
        <v>44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43"/>
      <c r="Y65" s="23"/>
      <c r="Z65" s="23"/>
      <c r="AA65" s="23">
        <v>3</v>
      </c>
      <c r="AB65" s="24">
        <f t="shared" si="34"/>
        <v>0</v>
      </c>
      <c r="AC65" s="24">
        <f t="shared" si="3"/>
        <v>44</v>
      </c>
      <c r="AD65" s="25">
        <v>10.8</v>
      </c>
      <c r="AE65" s="25">
        <f t="shared" si="4"/>
        <v>0</v>
      </c>
      <c r="AF65" s="25">
        <f t="shared" si="5"/>
        <v>0</v>
      </c>
      <c r="AG65" s="25">
        <f t="shared" si="6"/>
        <v>64.800000000000011</v>
      </c>
      <c r="AH65" s="25">
        <f t="shared" si="7"/>
        <v>410.40000000000003</v>
      </c>
      <c r="AI65" s="25">
        <f t="shared" si="8"/>
        <v>151.20000000000002</v>
      </c>
      <c r="AJ65" s="25">
        <f t="shared" si="9"/>
        <v>0</v>
      </c>
      <c r="AK65" s="25">
        <f t="shared" si="10"/>
        <v>0</v>
      </c>
      <c r="AL65" s="25">
        <f t="shared" si="11"/>
        <v>583.20000000000005</v>
      </c>
      <c r="AM65" s="25">
        <f t="shared" si="12"/>
        <v>475.20000000000005</v>
      </c>
      <c r="AN65" s="25">
        <f t="shared" si="13"/>
        <v>0</v>
      </c>
      <c r="AO65" s="25">
        <f t="shared" si="14"/>
        <v>0</v>
      </c>
      <c r="AP65" s="25">
        <f t="shared" si="15"/>
        <v>0</v>
      </c>
      <c r="AQ65" s="25">
        <f t="shared" si="16"/>
        <v>0</v>
      </c>
      <c r="AR65" s="25">
        <f t="shared" si="17"/>
        <v>0</v>
      </c>
      <c r="AS65" s="25">
        <f t="shared" si="18"/>
        <v>0</v>
      </c>
      <c r="AT65" s="25">
        <f t="shared" si="19"/>
        <v>0</v>
      </c>
      <c r="AU65" s="25">
        <f t="shared" si="20"/>
        <v>0</v>
      </c>
      <c r="AV65" s="25">
        <f t="shared" si="21"/>
        <v>0</v>
      </c>
      <c r="AW65" s="25">
        <f t="shared" si="22"/>
        <v>0</v>
      </c>
      <c r="AX65" s="25">
        <f t="shared" si="23"/>
        <v>0</v>
      </c>
      <c r="AY65" s="25">
        <f t="shared" si="24"/>
        <v>0</v>
      </c>
      <c r="AZ65" s="25">
        <f t="shared" si="25"/>
        <v>0</v>
      </c>
      <c r="BA65" s="25">
        <f t="shared" si="26"/>
        <v>0</v>
      </c>
      <c r="BB65" s="25">
        <f t="shared" si="27"/>
        <v>0</v>
      </c>
      <c r="BC65" s="25">
        <f t="shared" si="28"/>
        <v>0</v>
      </c>
      <c r="BD65" s="25">
        <f t="shared" si="29"/>
        <v>32.400000000000006</v>
      </c>
      <c r="BE65" s="25">
        <f t="shared" si="30"/>
        <v>0</v>
      </c>
      <c r="BF65" s="25">
        <f t="shared" si="31"/>
        <v>475.20000000000005</v>
      </c>
    </row>
    <row r="66" spans="1:58" s="25" customFormat="1" ht="15" customHeight="1" x14ac:dyDescent="0.25">
      <c r="A66" s="38" t="s">
        <v>142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33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43"/>
      <c r="Y66" s="23"/>
      <c r="Z66" s="23"/>
      <c r="AA66" s="23"/>
      <c r="AB66" s="24">
        <f t="shared" si="34"/>
        <v>0</v>
      </c>
      <c r="AC66" s="24">
        <f t="shared" si="3"/>
        <v>0</v>
      </c>
      <c r="AD66" s="25">
        <v>10.8</v>
      </c>
      <c r="AE66" s="25">
        <f t="shared" si="4"/>
        <v>0</v>
      </c>
      <c r="AF66" s="25">
        <f t="shared" si="5"/>
        <v>0</v>
      </c>
      <c r="AG66" s="25">
        <f t="shared" si="6"/>
        <v>0</v>
      </c>
      <c r="AH66" s="25">
        <f t="shared" si="7"/>
        <v>0</v>
      </c>
      <c r="AI66" s="25">
        <f t="shared" si="8"/>
        <v>0</v>
      </c>
      <c r="AJ66" s="25">
        <f t="shared" si="9"/>
        <v>0</v>
      </c>
      <c r="AK66" s="25">
        <f t="shared" si="10"/>
        <v>0</v>
      </c>
      <c r="AL66" s="25">
        <f t="shared" si="11"/>
        <v>0</v>
      </c>
      <c r="AM66" s="25">
        <f t="shared" si="12"/>
        <v>0</v>
      </c>
      <c r="AN66" s="25">
        <f t="shared" si="13"/>
        <v>0</v>
      </c>
      <c r="AO66" s="25">
        <f t="shared" si="14"/>
        <v>0</v>
      </c>
      <c r="AP66" s="25">
        <f t="shared" si="15"/>
        <v>0</v>
      </c>
      <c r="AQ66" s="25">
        <f t="shared" si="16"/>
        <v>0</v>
      </c>
      <c r="AR66" s="25">
        <f t="shared" si="17"/>
        <v>0</v>
      </c>
      <c r="AS66" s="25">
        <f t="shared" si="18"/>
        <v>0</v>
      </c>
      <c r="AT66" s="25">
        <f t="shared" si="19"/>
        <v>0</v>
      </c>
      <c r="AU66" s="25">
        <f t="shared" si="20"/>
        <v>0</v>
      </c>
      <c r="AV66" s="25">
        <f t="shared" si="21"/>
        <v>0</v>
      </c>
      <c r="AW66" s="25">
        <f t="shared" si="22"/>
        <v>0</v>
      </c>
      <c r="AX66" s="25">
        <f t="shared" si="23"/>
        <v>0</v>
      </c>
      <c r="AY66" s="25">
        <f t="shared" si="24"/>
        <v>0</v>
      </c>
      <c r="AZ66" s="25">
        <f t="shared" si="25"/>
        <v>0</v>
      </c>
      <c r="BA66" s="25">
        <f t="shared" si="26"/>
        <v>0</v>
      </c>
      <c r="BB66" s="25">
        <f t="shared" si="27"/>
        <v>0</v>
      </c>
      <c r="BC66" s="25">
        <f t="shared" si="28"/>
        <v>0</v>
      </c>
      <c r="BD66" s="25">
        <f t="shared" si="29"/>
        <v>0</v>
      </c>
      <c r="BE66" s="25">
        <f t="shared" si="30"/>
        <v>0</v>
      </c>
      <c r="BF66" s="25">
        <f t="shared" si="31"/>
        <v>0</v>
      </c>
    </row>
    <row r="67" spans="1:58" s="25" customFormat="1" ht="15" customHeight="1" x14ac:dyDescent="0.25">
      <c r="A67" s="38" t="s">
        <v>143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33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43"/>
      <c r="Y67" s="23"/>
      <c r="Z67" s="23"/>
      <c r="AA67" s="23"/>
      <c r="AB67" s="24">
        <f t="shared" si="34"/>
        <v>0</v>
      </c>
      <c r="AC67" s="24">
        <f t="shared" si="3"/>
        <v>0</v>
      </c>
      <c r="AD67" s="25">
        <v>10.8</v>
      </c>
      <c r="AE67" s="25">
        <f t="shared" si="4"/>
        <v>0</v>
      </c>
      <c r="AF67" s="25">
        <f t="shared" si="5"/>
        <v>0</v>
      </c>
      <c r="AG67" s="25">
        <f t="shared" si="6"/>
        <v>0</v>
      </c>
      <c r="AH67" s="25">
        <f t="shared" si="7"/>
        <v>0</v>
      </c>
      <c r="AI67" s="25">
        <f t="shared" si="8"/>
        <v>0</v>
      </c>
      <c r="AJ67" s="25">
        <f t="shared" si="9"/>
        <v>0</v>
      </c>
      <c r="AK67" s="25">
        <f t="shared" si="10"/>
        <v>0</v>
      </c>
      <c r="AL67" s="25">
        <f t="shared" si="11"/>
        <v>0</v>
      </c>
      <c r="AM67" s="25">
        <f t="shared" si="12"/>
        <v>0</v>
      </c>
      <c r="AN67" s="25">
        <f t="shared" si="13"/>
        <v>0</v>
      </c>
      <c r="AO67" s="25">
        <f t="shared" si="14"/>
        <v>0</v>
      </c>
      <c r="AP67" s="25">
        <f t="shared" si="15"/>
        <v>0</v>
      </c>
      <c r="AQ67" s="25">
        <f t="shared" si="16"/>
        <v>0</v>
      </c>
      <c r="AR67" s="25">
        <f t="shared" si="17"/>
        <v>0</v>
      </c>
      <c r="AS67" s="25">
        <f t="shared" si="18"/>
        <v>0</v>
      </c>
      <c r="AT67" s="25">
        <f t="shared" si="19"/>
        <v>0</v>
      </c>
      <c r="AU67" s="25">
        <f t="shared" si="20"/>
        <v>0</v>
      </c>
      <c r="AV67" s="25">
        <f t="shared" si="21"/>
        <v>0</v>
      </c>
      <c r="AW67" s="25">
        <f t="shared" si="22"/>
        <v>0</v>
      </c>
      <c r="AX67" s="25">
        <f t="shared" si="23"/>
        <v>0</v>
      </c>
      <c r="AY67" s="25">
        <f t="shared" si="24"/>
        <v>0</v>
      </c>
      <c r="AZ67" s="25">
        <f t="shared" si="25"/>
        <v>0</v>
      </c>
      <c r="BA67" s="25">
        <f t="shared" si="26"/>
        <v>0</v>
      </c>
      <c r="BB67" s="25">
        <f t="shared" si="27"/>
        <v>0</v>
      </c>
      <c r="BC67" s="25">
        <f t="shared" si="28"/>
        <v>0</v>
      </c>
      <c r="BD67" s="25">
        <f t="shared" si="29"/>
        <v>0</v>
      </c>
      <c r="BE67" s="25">
        <f t="shared" si="30"/>
        <v>0</v>
      </c>
      <c r="BF67" s="25">
        <f t="shared" si="31"/>
        <v>0</v>
      </c>
    </row>
    <row r="68" spans="1:58" s="25" customFormat="1" ht="15" customHeight="1" x14ac:dyDescent="0.25">
      <c r="A68" s="38" t="s">
        <v>144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33"/>
        <v>386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>
        <v>33</v>
      </c>
      <c r="X68" s="43"/>
      <c r="Y68" s="23">
        <v>197</v>
      </c>
      <c r="Z68" s="23"/>
      <c r="AA68" s="23"/>
      <c r="AB68" s="24">
        <f t="shared" si="34"/>
        <v>0</v>
      </c>
      <c r="AC68" s="24">
        <f t="shared" si="3"/>
        <v>386</v>
      </c>
      <c r="AD68" s="25">
        <v>4.4000000000000004</v>
      </c>
      <c r="AE68" s="25">
        <f t="shared" si="4"/>
        <v>1592.8000000000002</v>
      </c>
      <c r="AF68" s="25">
        <f t="shared" si="5"/>
        <v>0</v>
      </c>
      <c r="AG68" s="25">
        <f t="shared" si="6"/>
        <v>105.60000000000001</v>
      </c>
      <c r="AH68" s="25">
        <f t="shared" si="7"/>
        <v>0</v>
      </c>
      <c r="AI68" s="25">
        <f t="shared" si="8"/>
        <v>585.20000000000005</v>
      </c>
      <c r="AJ68" s="25">
        <f t="shared" si="9"/>
        <v>0</v>
      </c>
      <c r="AK68" s="25">
        <f t="shared" si="10"/>
        <v>453.20000000000005</v>
      </c>
      <c r="AL68" s="25">
        <f t="shared" si="11"/>
        <v>532.40000000000009</v>
      </c>
      <c r="AM68" s="25">
        <f t="shared" si="12"/>
        <v>1698.4</v>
      </c>
      <c r="AN68" s="25">
        <f t="shared" si="13"/>
        <v>0</v>
      </c>
      <c r="AO68" s="25">
        <f t="shared" si="14"/>
        <v>0</v>
      </c>
      <c r="AP68" s="25">
        <f t="shared" si="15"/>
        <v>0</v>
      </c>
      <c r="AQ68" s="25">
        <f t="shared" si="16"/>
        <v>0</v>
      </c>
      <c r="AR68" s="25">
        <f t="shared" si="17"/>
        <v>0</v>
      </c>
      <c r="AS68" s="25">
        <f t="shared" si="18"/>
        <v>0</v>
      </c>
      <c r="AT68" s="25">
        <f t="shared" si="19"/>
        <v>0</v>
      </c>
      <c r="AU68" s="25">
        <f t="shared" si="20"/>
        <v>0</v>
      </c>
      <c r="AV68" s="25">
        <f t="shared" si="21"/>
        <v>0</v>
      </c>
      <c r="AW68" s="25">
        <f t="shared" si="22"/>
        <v>0</v>
      </c>
      <c r="AX68" s="25">
        <f t="shared" si="23"/>
        <v>0</v>
      </c>
      <c r="AY68" s="25">
        <f t="shared" si="24"/>
        <v>0</v>
      </c>
      <c r="AZ68" s="25">
        <f t="shared" si="25"/>
        <v>145.20000000000002</v>
      </c>
      <c r="BA68" s="25">
        <f t="shared" si="26"/>
        <v>0</v>
      </c>
      <c r="BB68" s="25">
        <f t="shared" si="27"/>
        <v>866.80000000000007</v>
      </c>
      <c r="BC68" s="25">
        <f t="shared" si="28"/>
        <v>0</v>
      </c>
      <c r="BD68" s="25">
        <f t="shared" si="29"/>
        <v>0</v>
      </c>
      <c r="BE68" s="25">
        <f t="shared" si="30"/>
        <v>0</v>
      </c>
      <c r="BF68" s="25">
        <f t="shared" si="31"/>
        <v>1698.4</v>
      </c>
    </row>
    <row r="69" spans="1:58" s="25" customFormat="1" ht="15" customHeight="1" x14ac:dyDescent="0.25">
      <c r="A69" s="38" t="s">
        <v>145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33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43"/>
      <c r="Y69" s="23"/>
      <c r="Z69" s="23"/>
      <c r="AA69" s="23"/>
      <c r="AB69" s="24">
        <f t="shared" si="34"/>
        <v>0</v>
      </c>
      <c r="AC69" s="24">
        <f t="shared" si="3"/>
        <v>1</v>
      </c>
      <c r="AD69" s="25">
        <v>15</v>
      </c>
      <c r="AE69" s="25">
        <f t="shared" si="4"/>
        <v>15</v>
      </c>
      <c r="AF69" s="25">
        <f t="shared" si="5"/>
        <v>0</v>
      </c>
      <c r="AG69" s="25">
        <f t="shared" si="6"/>
        <v>0</v>
      </c>
      <c r="AH69" s="25">
        <f t="shared" si="7"/>
        <v>0</v>
      </c>
      <c r="AI69" s="25">
        <f t="shared" si="8"/>
        <v>0</v>
      </c>
      <c r="AJ69" s="25">
        <f t="shared" si="9"/>
        <v>0</v>
      </c>
      <c r="AK69" s="25">
        <f t="shared" si="10"/>
        <v>0</v>
      </c>
      <c r="AL69" s="25">
        <f t="shared" si="11"/>
        <v>0</v>
      </c>
      <c r="AM69" s="25">
        <f t="shared" si="12"/>
        <v>15</v>
      </c>
      <c r="AN69" s="25">
        <f t="shared" si="13"/>
        <v>0</v>
      </c>
      <c r="AO69" s="25">
        <f t="shared" si="14"/>
        <v>0</v>
      </c>
      <c r="AP69" s="25">
        <f t="shared" si="15"/>
        <v>0</v>
      </c>
      <c r="AQ69" s="25">
        <f t="shared" si="16"/>
        <v>0</v>
      </c>
      <c r="AR69" s="25">
        <f t="shared" si="17"/>
        <v>0</v>
      </c>
      <c r="AS69" s="25">
        <f t="shared" si="18"/>
        <v>0</v>
      </c>
      <c r="AT69" s="25">
        <f t="shared" si="19"/>
        <v>0</v>
      </c>
      <c r="AU69" s="25">
        <f t="shared" si="20"/>
        <v>0</v>
      </c>
      <c r="AV69" s="25">
        <f t="shared" si="21"/>
        <v>0</v>
      </c>
      <c r="AW69" s="25">
        <f t="shared" si="22"/>
        <v>0</v>
      </c>
      <c r="AX69" s="25">
        <f t="shared" si="23"/>
        <v>0</v>
      </c>
      <c r="AY69" s="25">
        <f t="shared" si="24"/>
        <v>0</v>
      </c>
      <c r="AZ69" s="25">
        <f t="shared" si="25"/>
        <v>0</v>
      </c>
      <c r="BA69" s="25">
        <f t="shared" si="26"/>
        <v>0</v>
      </c>
      <c r="BB69" s="25">
        <f t="shared" si="27"/>
        <v>0</v>
      </c>
      <c r="BC69" s="25">
        <f t="shared" si="28"/>
        <v>0</v>
      </c>
      <c r="BD69" s="25">
        <f t="shared" si="29"/>
        <v>0</v>
      </c>
      <c r="BE69" s="25">
        <f t="shared" si="30"/>
        <v>0</v>
      </c>
      <c r="BF69" s="25">
        <f t="shared" si="31"/>
        <v>15</v>
      </c>
    </row>
    <row r="70" spans="1:58" s="25" customFormat="1" ht="15" customHeight="1" x14ac:dyDescent="0.25">
      <c r="A70" s="38" t="s">
        <v>146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si="33"/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43"/>
      <c r="Y70" s="23"/>
      <c r="Z70" s="23"/>
      <c r="AA70" s="23"/>
      <c r="AB70" s="24">
        <f t="shared" si="34"/>
        <v>0</v>
      </c>
      <c r="AC70" s="24">
        <f t="shared" ref="AC70:AC133" si="35">J70-AB70</f>
        <v>1</v>
      </c>
      <c r="AD70" s="25">
        <v>15</v>
      </c>
      <c r="AE70" s="25">
        <f t="shared" ref="AE70:AE133" si="36">B70*$AD70</f>
        <v>15</v>
      </c>
      <c r="AF70" s="25">
        <f t="shared" ref="AF70:AF133" si="37">C70*$AD70</f>
        <v>0</v>
      </c>
      <c r="AG70" s="25">
        <f t="shared" ref="AG70:AG133" si="38">D70*$AD70</f>
        <v>0</v>
      </c>
      <c r="AH70" s="25">
        <f t="shared" ref="AH70:AH133" si="39">E70*$AD70</f>
        <v>0</v>
      </c>
      <c r="AI70" s="25">
        <f t="shared" ref="AI70:AI133" si="40">F70*$AD70</f>
        <v>0</v>
      </c>
      <c r="AJ70" s="25">
        <f t="shared" ref="AJ70:AJ133" si="41">G70*$AD70</f>
        <v>0</v>
      </c>
      <c r="AK70" s="25">
        <f t="shared" ref="AK70:AK133" si="42">H70*$AD70</f>
        <v>0</v>
      </c>
      <c r="AL70" s="25">
        <f t="shared" ref="AL70:AL133" si="43">I70*$AD70</f>
        <v>0</v>
      </c>
      <c r="AM70" s="25">
        <f t="shared" ref="AM70:AM133" si="44">J70*$AD70</f>
        <v>15</v>
      </c>
      <c r="AN70" s="25">
        <f t="shared" ref="AN70:AN133" si="45">K70*$AD70</f>
        <v>0</v>
      </c>
      <c r="AO70" s="25">
        <f t="shared" ref="AO70:AO133" si="46">L70*$AD70</f>
        <v>0</v>
      </c>
      <c r="AP70" s="25">
        <f t="shared" ref="AP70:AP133" si="47">M70*$AD70</f>
        <v>0</v>
      </c>
      <c r="AQ70" s="25">
        <f t="shared" ref="AQ70:AQ133" si="48">N70*$AD70</f>
        <v>0</v>
      </c>
      <c r="AR70" s="25">
        <f t="shared" ref="AR70:AR133" si="49">O70*$AD70</f>
        <v>0</v>
      </c>
      <c r="AS70" s="25">
        <f t="shared" ref="AS70:AS133" si="50">P70*$AD70</f>
        <v>0</v>
      </c>
      <c r="AT70" s="25">
        <f t="shared" ref="AT70:AT133" si="51">Q70*$AD70</f>
        <v>0</v>
      </c>
      <c r="AU70" s="25">
        <f t="shared" ref="AU70:AU133" si="52">R70*$AD70</f>
        <v>0</v>
      </c>
      <c r="AV70" s="25">
        <f t="shared" ref="AV70:AV133" si="53">S70*$AD70</f>
        <v>0</v>
      </c>
      <c r="AW70" s="25">
        <f t="shared" ref="AW70:AW133" si="54">T70*$AD70</f>
        <v>0</v>
      </c>
      <c r="AX70" s="25">
        <f t="shared" ref="AX70:AX133" si="55">U70*$AD70</f>
        <v>0</v>
      </c>
      <c r="AY70" s="25">
        <f t="shared" ref="AY70:AY133" si="56">V70*$AD70</f>
        <v>0</v>
      </c>
      <c r="AZ70" s="25">
        <f t="shared" ref="AZ70:AZ133" si="57">W70*$AD70</f>
        <v>0</v>
      </c>
      <c r="BA70" s="25">
        <f t="shared" ref="BA70:BA133" si="58">X70*$AD70</f>
        <v>0</v>
      </c>
      <c r="BB70" s="25">
        <f t="shared" ref="BB70:BB133" si="59">Y70*$AD70</f>
        <v>0</v>
      </c>
      <c r="BC70" s="25">
        <f t="shared" ref="BC70:BC133" si="60">Z70*$AD70</f>
        <v>0</v>
      </c>
      <c r="BD70" s="25">
        <f t="shared" ref="BD70:BD133" si="61">AA70*$AD70</f>
        <v>0</v>
      </c>
      <c r="BE70" s="25">
        <f t="shared" ref="BE70:BE133" si="62">AB70*$AD70</f>
        <v>0</v>
      </c>
      <c r="BF70" s="25">
        <f t="shared" ref="BF70:BF133" si="63">AC70*$AD70</f>
        <v>15</v>
      </c>
    </row>
    <row r="71" spans="1:58" s="25" customFormat="1" ht="15" customHeight="1" x14ac:dyDescent="0.25">
      <c r="A71" s="38" t="s">
        <v>147</v>
      </c>
      <c r="B71" s="38">
        <v>65</v>
      </c>
      <c r="C71" s="27"/>
      <c r="D71" s="27"/>
      <c r="E71" s="20">
        <v>9</v>
      </c>
      <c r="F71" s="20">
        <v>45</v>
      </c>
      <c r="G71" s="20"/>
      <c r="H71" s="20">
        <v>124</v>
      </c>
      <c r="I71" s="20">
        <v>25</v>
      </c>
      <c r="J71" s="20">
        <f t="shared" si="33"/>
        <v>74</v>
      </c>
      <c r="K71" s="21"/>
      <c r="L71" s="23"/>
      <c r="M71" s="23"/>
      <c r="N71" s="43"/>
      <c r="O71" s="43"/>
      <c r="P71" s="23"/>
      <c r="Q71" s="23"/>
      <c r="R71" s="23"/>
      <c r="S71" s="23"/>
      <c r="T71" s="23">
        <v>12</v>
      </c>
      <c r="U71" s="23">
        <v>76</v>
      </c>
      <c r="V71" s="23">
        <v>6</v>
      </c>
      <c r="W71" s="23">
        <v>12</v>
      </c>
      <c r="X71" s="43">
        <v>19</v>
      </c>
      <c r="Y71" s="23">
        <v>28</v>
      </c>
      <c r="Z71" s="23"/>
      <c r="AA71" s="23">
        <v>6</v>
      </c>
      <c r="AB71" s="24">
        <f t="shared" si="34"/>
        <v>0</v>
      </c>
      <c r="AC71" s="24">
        <f t="shared" si="35"/>
        <v>74</v>
      </c>
      <c r="AD71" s="25">
        <v>1.72</v>
      </c>
      <c r="AE71" s="25">
        <f t="shared" si="36"/>
        <v>111.8</v>
      </c>
      <c r="AF71" s="25">
        <f t="shared" si="37"/>
        <v>0</v>
      </c>
      <c r="AG71" s="25">
        <f t="shared" si="38"/>
        <v>0</v>
      </c>
      <c r="AH71" s="25">
        <f t="shared" si="39"/>
        <v>15.48</v>
      </c>
      <c r="AI71" s="25">
        <f t="shared" si="40"/>
        <v>77.400000000000006</v>
      </c>
      <c r="AJ71" s="25">
        <f t="shared" si="41"/>
        <v>0</v>
      </c>
      <c r="AK71" s="25">
        <f t="shared" si="42"/>
        <v>213.28</v>
      </c>
      <c r="AL71" s="25">
        <f t="shared" si="43"/>
        <v>43</v>
      </c>
      <c r="AM71" s="25">
        <f t="shared" si="44"/>
        <v>127.28</v>
      </c>
      <c r="AN71" s="25">
        <f t="shared" si="45"/>
        <v>0</v>
      </c>
      <c r="AO71" s="25">
        <f t="shared" si="46"/>
        <v>0</v>
      </c>
      <c r="AP71" s="25">
        <f t="shared" si="47"/>
        <v>0</v>
      </c>
      <c r="AQ71" s="25">
        <f t="shared" si="48"/>
        <v>0</v>
      </c>
      <c r="AR71" s="25">
        <f t="shared" si="49"/>
        <v>0</v>
      </c>
      <c r="AS71" s="25">
        <f t="shared" si="50"/>
        <v>0</v>
      </c>
      <c r="AT71" s="25">
        <f t="shared" si="51"/>
        <v>0</v>
      </c>
      <c r="AU71" s="25">
        <f t="shared" si="52"/>
        <v>0</v>
      </c>
      <c r="AV71" s="25">
        <f t="shared" si="53"/>
        <v>0</v>
      </c>
      <c r="AW71" s="25">
        <f t="shared" si="54"/>
        <v>20.64</v>
      </c>
      <c r="AX71" s="25">
        <f t="shared" si="55"/>
        <v>130.72</v>
      </c>
      <c r="AY71" s="25">
        <f t="shared" si="56"/>
        <v>10.32</v>
      </c>
      <c r="AZ71" s="25">
        <f t="shared" si="57"/>
        <v>20.64</v>
      </c>
      <c r="BA71" s="25">
        <f t="shared" si="58"/>
        <v>32.68</v>
      </c>
      <c r="BB71" s="25">
        <f t="shared" si="59"/>
        <v>48.16</v>
      </c>
      <c r="BC71" s="25">
        <f t="shared" si="60"/>
        <v>0</v>
      </c>
      <c r="BD71" s="25">
        <f t="shared" si="61"/>
        <v>10.32</v>
      </c>
      <c r="BE71" s="25">
        <f t="shared" si="62"/>
        <v>0</v>
      </c>
      <c r="BF71" s="25">
        <f t="shared" si="63"/>
        <v>127.28</v>
      </c>
    </row>
    <row r="72" spans="1:58" s="25" customFormat="1" ht="15" customHeight="1" x14ac:dyDescent="0.25">
      <c r="A72" s="38" t="s">
        <v>148</v>
      </c>
      <c r="B72" s="38">
        <v>43</v>
      </c>
      <c r="C72" s="27"/>
      <c r="D72" s="27">
        <v>4</v>
      </c>
      <c r="E72" s="20">
        <v>2</v>
      </c>
      <c r="F72" s="20">
        <v>70</v>
      </c>
      <c r="G72" s="20"/>
      <c r="H72" s="20">
        <v>98</v>
      </c>
      <c r="I72" s="20">
        <v>15</v>
      </c>
      <c r="J72" s="20">
        <f t="shared" si="33"/>
        <v>49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>
        <v>44</v>
      </c>
      <c r="W72" s="23">
        <v>46</v>
      </c>
      <c r="X72" s="43"/>
      <c r="Y72" s="23">
        <v>1</v>
      </c>
      <c r="Z72" s="23"/>
      <c r="AA72" s="23"/>
      <c r="AB72" s="24">
        <f t="shared" si="34"/>
        <v>0</v>
      </c>
      <c r="AC72" s="24">
        <f t="shared" si="35"/>
        <v>49</v>
      </c>
      <c r="AD72" s="25">
        <v>3.25</v>
      </c>
      <c r="AE72" s="25">
        <f t="shared" si="36"/>
        <v>139.75</v>
      </c>
      <c r="AF72" s="25">
        <f t="shared" si="37"/>
        <v>0</v>
      </c>
      <c r="AG72" s="25">
        <f t="shared" si="38"/>
        <v>13</v>
      </c>
      <c r="AH72" s="25">
        <f t="shared" si="39"/>
        <v>6.5</v>
      </c>
      <c r="AI72" s="25">
        <f t="shared" si="40"/>
        <v>227.5</v>
      </c>
      <c r="AJ72" s="25">
        <f t="shared" si="41"/>
        <v>0</v>
      </c>
      <c r="AK72" s="25">
        <f t="shared" si="42"/>
        <v>318.5</v>
      </c>
      <c r="AL72" s="25">
        <f t="shared" si="43"/>
        <v>48.75</v>
      </c>
      <c r="AM72" s="25">
        <f t="shared" si="44"/>
        <v>159.25</v>
      </c>
      <c r="AN72" s="25">
        <f t="shared" si="45"/>
        <v>0</v>
      </c>
      <c r="AO72" s="25">
        <f t="shared" si="46"/>
        <v>0</v>
      </c>
      <c r="AP72" s="25">
        <f t="shared" si="47"/>
        <v>0</v>
      </c>
      <c r="AQ72" s="25">
        <f t="shared" si="48"/>
        <v>0</v>
      </c>
      <c r="AR72" s="25">
        <f t="shared" si="49"/>
        <v>0</v>
      </c>
      <c r="AS72" s="25">
        <f t="shared" si="50"/>
        <v>0</v>
      </c>
      <c r="AT72" s="25">
        <f t="shared" si="51"/>
        <v>0</v>
      </c>
      <c r="AU72" s="25">
        <f t="shared" si="52"/>
        <v>0</v>
      </c>
      <c r="AV72" s="25">
        <f t="shared" si="53"/>
        <v>0</v>
      </c>
      <c r="AW72" s="25">
        <f t="shared" si="54"/>
        <v>0</v>
      </c>
      <c r="AX72" s="25">
        <f t="shared" si="55"/>
        <v>0</v>
      </c>
      <c r="AY72" s="25">
        <f t="shared" si="56"/>
        <v>143</v>
      </c>
      <c r="AZ72" s="25">
        <f t="shared" si="57"/>
        <v>149.5</v>
      </c>
      <c r="BA72" s="25">
        <f t="shared" si="58"/>
        <v>0</v>
      </c>
      <c r="BB72" s="25">
        <f t="shared" si="59"/>
        <v>3.25</v>
      </c>
      <c r="BC72" s="25">
        <f t="shared" si="60"/>
        <v>0</v>
      </c>
      <c r="BD72" s="25">
        <f t="shared" si="61"/>
        <v>0</v>
      </c>
      <c r="BE72" s="25">
        <f t="shared" si="62"/>
        <v>0</v>
      </c>
      <c r="BF72" s="25">
        <f t="shared" si="63"/>
        <v>159.25</v>
      </c>
    </row>
    <row r="73" spans="1:58" s="25" customFormat="1" ht="15" customHeight="1" x14ac:dyDescent="0.25">
      <c r="A73" s="38" t="s">
        <v>149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3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43"/>
      <c r="Y73" s="23"/>
      <c r="Z73" s="23"/>
      <c r="AA73" s="23"/>
      <c r="AB73" s="24">
        <f t="shared" si="34"/>
        <v>0</v>
      </c>
      <c r="AC73" s="24">
        <f t="shared" si="35"/>
        <v>0</v>
      </c>
      <c r="AD73" s="25">
        <v>5.6</v>
      </c>
      <c r="AE73" s="25">
        <f t="shared" si="36"/>
        <v>0</v>
      </c>
      <c r="AF73" s="25">
        <f t="shared" si="37"/>
        <v>0</v>
      </c>
      <c r="AG73" s="25">
        <f t="shared" si="38"/>
        <v>0</v>
      </c>
      <c r="AH73" s="25">
        <f t="shared" si="39"/>
        <v>0</v>
      </c>
      <c r="AI73" s="25">
        <f t="shared" si="40"/>
        <v>0</v>
      </c>
      <c r="AJ73" s="25">
        <f t="shared" si="41"/>
        <v>0</v>
      </c>
      <c r="AK73" s="25">
        <f t="shared" si="42"/>
        <v>0</v>
      </c>
      <c r="AL73" s="25">
        <f t="shared" si="43"/>
        <v>0</v>
      </c>
      <c r="AM73" s="25">
        <f t="shared" si="44"/>
        <v>0</v>
      </c>
      <c r="AN73" s="25">
        <f t="shared" si="45"/>
        <v>0</v>
      </c>
      <c r="AO73" s="25">
        <f t="shared" si="46"/>
        <v>0</v>
      </c>
      <c r="AP73" s="25">
        <f t="shared" si="47"/>
        <v>0</v>
      </c>
      <c r="AQ73" s="25">
        <f t="shared" si="48"/>
        <v>0</v>
      </c>
      <c r="AR73" s="25">
        <f t="shared" si="49"/>
        <v>0</v>
      </c>
      <c r="AS73" s="25">
        <f t="shared" si="50"/>
        <v>0</v>
      </c>
      <c r="AT73" s="25">
        <f t="shared" si="51"/>
        <v>0</v>
      </c>
      <c r="AU73" s="25">
        <f t="shared" si="52"/>
        <v>0</v>
      </c>
      <c r="AV73" s="25">
        <f t="shared" si="53"/>
        <v>0</v>
      </c>
      <c r="AW73" s="25">
        <f t="shared" si="54"/>
        <v>0</v>
      </c>
      <c r="AX73" s="25">
        <f t="shared" si="55"/>
        <v>0</v>
      </c>
      <c r="AY73" s="25">
        <f t="shared" si="56"/>
        <v>0</v>
      </c>
      <c r="AZ73" s="25">
        <f t="shared" si="57"/>
        <v>0</v>
      </c>
      <c r="BA73" s="25">
        <f t="shared" si="58"/>
        <v>0</v>
      </c>
      <c r="BB73" s="25">
        <f t="shared" si="59"/>
        <v>0</v>
      </c>
      <c r="BC73" s="25">
        <f t="shared" si="60"/>
        <v>0</v>
      </c>
      <c r="BD73" s="25">
        <f t="shared" si="61"/>
        <v>0</v>
      </c>
      <c r="BE73" s="25">
        <f t="shared" si="62"/>
        <v>0</v>
      </c>
      <c r="BF73" s="25">
        <f t="shared" si="63"/>
        <v>0</v>
      </c>
    </row>
    <row r="74" spans="1:58" s="25" customFormat="1" ht="15" customHeight="1" x14ac:dyDescent="0.25">
      <c r="A74" s="38" t="s">
        <v>150</v>
      </c>
      <c r="B74" s="38">
        <v>1</v>
      </c>
      <c r="C74" s="27"/>
      <c r="D74" s="27"/>
      <c r="E74" s="20">
        <v>15</v>
      </c>
      <c r="F74" s="20">
        <v>110</v>
      </c>
      <c r="G74" s="20"/>
      <c r="H74" s="20"/>
      <c r="I74" s="20">
        <v>18</v>
      </c>
      <c r="J74" s="20">
        <f t="shared" si="33"/>
        <v>16</v>
      </c>
      <c r="K74" s="21"/>
      <c r="L74" s="23"/>
      <c r="M74" s="23"/>
      <c r="N74" s="43"/>
      <c r="O74" s="43"/>
      <c r="P74" s="23"/>
      <c r="Q74" s="23"/>
      <c r="R74" s="23"/>
      <c r="S74" s="23">
        <v>7</v>
      </c>
      <c r="T74" s="23"/>
      <c r="U74" s="23"/>
      <c r="V74" s="23">
        <v>0</v>
      </c>
      <c r="W74" s="23">
        <v>0</v>
      </c>
      <c r="X74" s="43"/>
      <c r="Y74" s="23"/>
      <c r="Z74" s="23"/>
      <c r="AA74" s="23"/>
      <c r="AB74" s="24">
        <f t="shared" si="34"/>
        <v>0</v>
      </c>
      <c r="AC74" s="24">
        <f t="shared" si="35"/>
        <v>16</v>
      </c>
      <c r="AD74" s="25">
        <v>5.6</v>
      </c>
      <c r="AE74" s="25">
        <f t="shared" si="36"/>
        <v>5.6</v>
      </c>
      <c r="AF74" s="25">
        <f t="shared" si="37"/>
        <v>0</v>
      </c>
      <c r="AG74" s="25">
        <f t="shared" si="38"/>
        <v>0</v>
      </c>
      <c r="AH74" s="25">
        <f t="shared" si="39"/>
        <v>84</v>
      </c>
      <c r="AI74" s="25">
        <f t="shared" si="40"/>
        <v>616</v>
      </c>
      <c r="AJ74" s="25">
        <f t="shared" si="41"/>
        <v>0</v>
      </c>
      <c r="AK74" s="25">
        <f t="shared" si="42"/>
        <v>0</v>
      </c>
      <c r="AL74" s="25">
        <f t="shared" si="43"/>
        <v>100.8</v>
      </c>
      <c r="AM74" s="25">
        <f t="shared" si="44"/>
        <v>89.6</v>
      </c>
      <c r="AN74" s="25">
        <f t="shared" si="45"/>
        <v>0</v>
      </c>
      <c r="AO74" s="25">
        <f t="shared" si="46"/>
        <v>0</v>
      </c>
      <c r="AP74" s="25">
        <f t="shared" si="47"/>
        <v>0</v>
      </c>
      <c r="AQ74" s="25">
        <f t="shared" si="48"/>
        <v>0</v>
      </c>
      <c r="AR74" s="25">
        <f t="shared" si="49"/>
        <v>0</v>
      </c>
      <c r="AS74" s="25">
        <f t="shared" si="50"/>
        <v>0</v>
      </c>
      <c r="AT74" s="25">
        <f t="shared" si="51"/>
        <v>0</v>
      </c>
      <c r="AU74" s="25">
        <f t="shared" si="52"/>
        <v>0</v>
      </c>
      <c r="AV74" s="25">
        <f t="shared" si="53"/>
        <v>39.199999999999996</v>
      </c>
      <c r="AW74" s="25">
        <f t="shared" si="54"/>
        <v>0</v>
      </c>
      <c r="AX74" s="25">
        <f t="shared" si="55"/>
        <v>0</v>
      </c>
      <c r="AY74" s="25">
        <f t="shared" si="56"/>
        <v>0</v>
      </c>
      <c r="AZ74" s="25">
        <f t="shared" si="57"/>
        <v>0</v>
      </c>
      <c r="BA74" s="25">
        <f t="shared" si="58"/>
        <v>0</v>
      </c>
      <c r="BB74" s="25">
        <f t="shared" si="59"/>
        <v>0</v>
      </c>
      <c r="BC74" s="25">
        <f t="shared" si="60"/>
        <v>0</v>
      </c>
      <c r="BD74" s="25">
        <f t="shared" si="61"/>
        <v>0</v>
      </c>
      <c r="BE74" s="25">
        <f t="shared" si="62"/>
        <v>0</v>
      </c>
      <c r="BF74" s="25">
        <f t="shared" si="63"/>
        <v>89.6</v>
      </c>
    </row>
    <row r="75" spans="1:58" s="25" customFormat="1" ht="15" customHeight="1" x14ac:dyDescent="0.25">
      <c r="A75" s="38" t="s">
        <v>151</v>
      </c>
      <c r="B75" s="38">
        <v>24</v>
      </c>
      <c r="C75" s="27"/>
      <c r="D75" s="27"/>
      <c r="E75" s="20">
        <v>19</v>
      </c>
      <c r="F75" s="20">
        <v>152</v>
      </c>
      <c r="G75" s="20"/>
      <c r="H75" s="20">
        <v>43</v>
      </c>
      <c r="I75" s="20">
        <v>44</v>
      </c>
      <c r="J75" s="20">
        <f t="shared" si="33"/>
        <v>43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>
        <v>47</v>
      </c>
      <c r="T75" s="23"/>
      <c r="U75" s="23"/>
      <c r="V75" s="23">
        <v>0</v>
      </c>
      <c r="W75" s="23"/>
      <c r="X75" s="43">
        <v>11</v>
      </c>
      <c r="Y75" s="23">
        <v>1</v>
      </c>
      <c r="Z75" s="23"/>
      <c r="AA75" s="23">
        <v>116</v>
      </c>
      <c r="AB75" s="24">
        <f t="shared" si="34"/>
        <v>148</v>
      </c>
      <c r="AC75" s="24">
        <f t="shared" si="35"/>
        <v>-105</v>
      </c>
      <c r="AD75" s="25">
        <v>5.6</v>
      </c>
      <c r="AE75" s="25">
        <f t="shared" si="36"/>
        <v>134.39999999999998</v>
      </c>
      <c r="AF75" s="25">
        <f t="shared" si="37"/>
        <v>0</v>
      </c>
      <c r="AG75" s="25">
        <f t="shared" si="38"/>
        <v>0</v>
      </c>
      <c r="AH75" s="25">
        <f t="shared" si="39"/>
        <v>106.39999999999999</v>
      </c>
      <c r="AI75" s="25">
        <f t="shared" si="40"/>
        <v>851.19999999999993</v>
      </c>
      <c r="AJ75" s="25">
        <f t="shared" si="41"/>
        <v>0</v>
      </c>
      <c r="AK75" s="25">
        <f t="shared" si="42"/>
        <v>240.79999999999998</v>
      </c>
      <c r="AL75" s="25">
        <f t="shared" si="43"/>
        <v>246.39999999999998</v>
      </c>
      <c r="AM75" s="25">
        <f t="shared" si="44"/>
        <v>240.79999999999998</v>
      </c>
      <c r="AN75" s="25">
        <f t="shared" si="45"/>
        <v>0</v>
      </c>
      <c r="AO75" s="25">
        <f t="shared" si="46"/>
        <v>100.8</v>
      </c>
      <c r="AP75" s="25">
        <f t="shared" si="47"/>
        <v>0</v>
      </c>
      <c r="AQ75" s="25">
        <f t="shared" si="48"/>
        <v>0</v>
      </c>
      <c r="AR75" s="25">
        <f t="shared" si="49"/>
        <v>0</v>
      </c>
      <c r="AS75" s="25">
        <f t="shared" si="50"/>
        <v>728</v>
      </c>
      <c r="AT75" s="25">
        <f t="shared" si="51"/>
        <v>0</v>
      </c>
      <c r="AU75" s="25">
        <f t="shared" si="52"/>
        <v>0</v>
      </c>
      <c r="AV75" s="25">
        <f t="shared" si="53"/>
        <v>263.2</v>
      </c>
      <c r="AW75" s="25">
        <f t="shared" si="54"/>
        <v>0</v>
      </c>
      <c r="AX75" s="25">
        <f t="shared" si="55"/>
        <v>0</v>
      </c>
      <c r="AY75" s="25">
        <f t="shared" si="56"/>
        <v>0</v>
      </c>
      <c r="AZ75" s="25">
        <f t="shared" si="57"/>
        <v>0</v>
      </c>
      <c r="BA75" s="25">
        <f t="shared" si="58"/>
        <v>61.599999999999994</v>
      </c>
      <c r="BB75" s="25">
        <f t="shared" si="59"/>
        <v>5.6</v>
      </c>
      <c r="BC75" s="25">
        <f t="shared" si="60"/>
        <v>0</v>
      </c>
      <c r="BD75" s="25">
        <f t="shared" si="61"/>
        <v>649.59999999999991</v>
      </c>
      <c r="BE75" s="25">
        <f t="shared" si="62"/>
        <v>828.8</v>
      </c>
      <c r="BF75" s="25">
        <f t="shared" si="63"/>
        <v>-588</v>
      </c>
    </row>
    <row r="76" spans="1:58" s="25" customFormat="1" ht="15" customHeight="1" x14ac:dyDescent="0.25">
      <c r="A76" s="38" t="s">
        <v>152</v>
      </c>
      <c r="B76" s="38">
        <v>149</v>
      </c>
      <c r="C76" s="27"/>
      <c r="D76" s="27">
        <v>2</v>
      </c>
      <c r="E76" s="20">
        <v>108</v>
      </c>
      <c r="F76" s="20">
        <v>169</v>
      </c>
      <c r="G76" s="20"/>
      <c r="H76" s="20">
        <v>8</v>
      </c>
      <c r="I76" s="20">
        <v>108</v>
      </c>
      <c r="J76" s="20">
        <f t="shared" si="33"/>
        <v>259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>
        <v>272</v>
      </c>
      <c r="T76" s="23"/>
      <c r="U76" s="23"/>
      <c r="V76" s="23">
        <v>76</v>
      </c>
      <c r="W76" s="23">
        <v>73</v>
      </c>
      <c r="X76" s="43">
        <v>13</v>
      </c>
      <c r="Y76" s="23">
        <v>78</v>
      </c>
      <c r="Z76" s="23"/>
      <c r="AA76" s="23">
        <v>0</v>
      </c>
      <c r="AB76" s="24">
        <f t="shared" si="34"/>
        <v>3</v>
      </c>
      <c r="AC76" s="24">
        <f t="shared" si="35"/>
        <v>256</v>
      </c>
      <c r="AD76" s="25">
        <v>5.6</v>
      </c>
      <c r="AE76" s="25">
        <f t="shared" si="36"/>
        <v>834.4</v>
      </c>
      <c r="AF76" s="25">
        <f t="shared" si="37"/>
        <v>0</v>
      </c>
      <c r="AG76" s="25">
        <f t="shared" si="38"/>
        <v>11.2</v>
      </c>
      <c r="AH76" s="25">
        <f t="shared" si="39"/>
        <v>604.79999999999995</v>
      </c>
      <c r="AI76" s="25">
        <f t="shared" si="40"/>
        <v>946.4</v>
      </c>
      <c r="AJ76" s="25">
        <f t="shared" si="41"/>
        <v>0</v>
      </c>
      <c r="AK76" s="25">
        <f t="shared" si="42"/>
        <v>44.8</v>
      </c>
      <c r="AL76" s="25">
        <f t="shared" si="43"/>
        <v>604.79999999999995</v>
      </c>
      <c r="AM76" s="25">
        <f t="shared" si="44"/>
        <v>1450.3999999999999</v>
      </c>
      <c r="AN76" s="25">
        <f t="shared" si="45"/>
        <v>0</v>
      </c>
      <c r="AO76" s="25">
        <f t="shared" si="46"/>
        <v>16.799999999999997</v>
      </c>
      <c r="AP76" s="25">
        <f t="shared" si="47"/>
        <v>0</v>
      </c>
      <c r="AQ76" s="25">
        <f t="shared" si="48"/>
        <v>0</v>
      </c>
      <c r="AR76" s="25">
        <f t="shared" si="49"/>
        <v>33.599999999999994</v>
      </c>
      <c r="AS76" s="25">
        <f t="shared" si="50"/>
        <v>0</v>
      </c>
      <c r="AT76" s="25">
        <f t="shared" si="51"/>
        <v>0</v>
      </c>
      <c r="AU76" s="25">
        <f t="shared" si="52"/>
        <v>0</v>
      </c>
      <c r="AV76" s="25">
        <f t="shared" si="53"/>
        <v>1523.1999999999998</v>
      </c>
      <c r="AW76" s="25">
        <f t="shared" si="54"/>
        <v>0</v>
      </c>
      <c r="AX76" s="25">
        <f t="shared" si="55"/>
        <v>0</v>
      </c>
      <c r="AY76" s="25">
        <f t="shared" si="56"/>
        <v>425.59999999999997</v>
      </c>
      <c r="AZ76" s="25">
        <f t="shared" si="57"/>
        <v>408.79999999999995</v>
      </c>
      <c r="BA76" s="25">
        <f t="shared" si="58"/>
        <v>72.8</v>
      </c>
      <c r="BB76" s="25">
        <f t="shared" si="59"/>
        <v>436.79999999999995</v>
      </c>
      <c r="BC76" s="25">
        <f t="shared" si="60"/>
        <v>0</v>
      </c>
      <c r="BD76" s="25">
        <f t="shared" si="61"/>
        <v>0</v>
      </c>
      <c r="BE76" s="25">
        <f t="shared" si="62"/>
        <v>16.799999999999997</v>
      </c>
      <c r="BF76" s="25">
        <f t="shared" si="63"/>
        <v>1433.6</v>
      </c>
    </row>
    <row r="77" spans="1:58" s="25" customFormat="1" ht="15" customHeight="1" x14ac:dyDescent="0.25">
      <c r="A77" s="38" t="s">
        <v>153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33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43"/>
      <c r="Y77" s="23"/>
      <c r="Z77" s="23"/>
      <c r="AA77" s="23"/>
      <c r="AB77" s="24">
        <f t="shared" si="34"/>
        <v>0</v>
      </c>
      <c r="AC77" s="24">
        <f t="shared" si="35"/>
        <v>0</v>
      </c>
      <c r="AD77" s="25">
        <v>5.6</v>
      </c>
      <c r="AE77" s="25">
        <f t="shared" si="36"/>
        <v>0</v>
      </c>
      <c r="AF77" s="25">
        <f t="shared" si="37"/>
        <v>0</v>
      </c>
      <c r="AG77" s="25">
        <f t="shared" si="38"/>
        <v>0</v>
      </c>
      <c r="AH77" s="25">
        <f t="shared" si="39"/>
        <v>0</v>
      </c>
      <c r="AI77" s="25">
        <f t="shared" si="40"/>
        <v>0</v>
      </c>
      <c r="AJ77" s="25">
        <f t="shared" si="41"/>
        <v>0</v>
      </c>
      <c r="AK77" s="25">
        <f t="shared" si="42"/>
        <v>0</v>
      </c>
      <c r="AL77" s="25">
        <f t="shared" si="43"/>
        <v>0</v>
      </c>
      <c r="AM77" s="25">
        <f t="shared" si="44"/>
        <v>0</v>
      </c>
      <c r="AN77" s="25">
        <f t="shared" si="45"/>
        <v>0</v>
      </c>
      <c r="AO77" s="25">
        <f t="shared" si="46"/>
        <v>0</v>
      </c>
      <c r="AP77" s="25">
        <f t="shared" si="47"/>
        <v>0</v>
      </c>
      <c r="AQ77" s="25">
        <f t="shared" si="48"/>
        <v>0</v>
      </c>
      <c r="AR77" s="25">
        <f t="shared" si="49"/>
        <v>0</v>
      </c>
      <c r="AS77" s="25">
        <f t="shared" si="50"/>
        <v>0</v>
      </c>
      <c r="AT77" s="25">
        <f t="shared" si="51"/>
        <v>0</v>
      </c>
      <c r="AU77" s="25">
        <f t="shared" si="52"/>
        <v>0</v>
      </c>
      <c r="AV77" s="25">
        <f t="shared" si="53"/>
        <v>0</v>
      </c>
      <c r="AW77" s="25">
        <f t="shared" si="54"/>
        <v>0</v>
      </c>
      <c r="AX77" s="25">
        <f t="shared" si="55"/>
        <v>0</v>
      </c>
      <c r="AY77" s="25">
        <f t="shared" si="56"/>
        <v>0</v>
      </c>
      <c r="AZ77" s="25">
        <f t="shared" si="57"/>
        <v>0</v>
      </c>
      <c r="BA77" s="25">
        <f t="shared" si="58"/>
        <v>0</v>
      </c>
      <c r="BB77" s="25">
        <f t="shared" si="59"/>
        <v>0</v>
      </c>
      <c r="BC77" s="25">
        <f t="shared" si="60"/>
        <v>0</v>
      </c>
      <c r="BD77" s="25">
        <f t="shared" si="61"/>
        <v>0</v>
      </c>
      <c r="BE77" s="25">
        <f t="shared" si="62"/>
        <v>0</v>
      </c>
      <c r="BF77" s="25">
        <f t="shared" si="63"/>
        <v>0</v>
      </c>
    </row>
    <row r="78" spans="1:58" s="25" customFormat="1" ht="15" customHeight="1" x14ac:dyDescent="0.25">
      <c r="A78" s="38" t="s">
        <v>154</v>
      </c>
      <c r="B78" s="38">
        <v>35</v>
      </c>
      <c r="C78" s="27"/>
      <c r="D78" s="27"/>
      <c r="E78" s="20">
        <v>17</v>
      </c>
      <c r="F78" s="20"/>
      <c r="G78" s="20"/>
      <c r="H78" s="20">
        <v>256</v>
      </c>
      <c r="I78" s="20"/>
      <c r="J78" s="20">
        <f t="shared" si="33"/>
        <v>52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>
        <v>52</v>
      </c>
      <c r="V78" s="23"/>
      <c r="W78" s="23"/>
      <c r="X78" s="43"/>
      <c r="Y78" s="23"/>
      <c r="Z78" s="23"/>
      <c r="AA78" s="23"/>
      <c r="AB78" s="24">
        <f t="shared" si="34"/>
        <v>0</v>
      </c>
      <c r="AC78" s="24">
        <f t="shared" si="35"/>
        <v>52</v>
      </c>
      <c r="AD78" s="25">
        <v>0.6</v>
      </c>
      <c r="AE78" s="25">
        <f t="shared" si="36"/>
        <v>21</v>
      </c>
      <c r="AF78" s="25">
        <f t="shared" si="37"/>
        <v>0</v>
      </c>
      <c r="AG78" s="25">
        <f t="shared" si="38"/>
        <v>0</v>
      </c>
      <c r="AH78" s="25">
        <f t="shared" si="39"/>
        <v>10.199999999999999</v>
      </c>
      <c r="AI78" s="25">
        <f t="shared" si="40"/>
        <v>0</v>
      </c>
      <c r="AJ78" s="25">
        <f t="shared" si="41"/>
        <v>0</v>
      </c>
      <c r="AK78" s="25">
        <f t="shared" si="42"/>
        <v>153.6</v>
      </c>
      <c r="AL78" s="25">
        <f t="shared" si="43"/>
        <v>0</v>
      </c>
      <c r="AM78" s="25">
        <f t="shared" si="44"/>
        <v>31.2</v>
      </c>
      <c r="AN78" s="25">
        <f t="shared" si="45"/>
        <v>0</v>
      </c>
      <c r="AO78" s="25">
        <f t="shared" si="46"/>
        <v>0</v>
      </c>
      <c r="AP78" s="25">
        <f t="shared" si="47"/>
        <v>0</v>
      </c>
      <c r="AQ78" s="25">
        <f t="shared" si="48"/>
        <v>0</v>
      </c>
      <c r="AR78" s="25">
        <f t="shared" si="49"/>
        <v>0</v>
      </c>
      <c r="AS78" s="25">
        <f t="shared" si="50"/>
        <v>0</v>
      </c>
      <c r="AT78" s="25">
        <f t="shared" si="51"/>
        <v>0</v>
      </c>
      <c r="AU78" s="25">
        <f t="shared" si="52"/>
        <v>0</v>
      </c>
      <c r="AV78" s="25">
        <f t="shared" si="53"/>
        <v>0</v>
      </c>
      <c r="AW78" s="25">
        <f t="shared" si="54"/>
        <v>0</v>
      </c>
      <c r="AX78" s="25">
        <f t="shared" si="55"/>
        <v>31.2</v>
      </c>
      <c r="AY78" s="25">
        <f t="shared" si="56"/>
        <v>0</v>
      </c>
      <c r="AZ78" s="25">
        <f t="shared" si="57"/>
        <v>0</v>
      </c>
      <c r="BA78" s="25">
        <f t="shared" si="58"/>
        <v>0</v>
      </c>
      <c r="BB78" s="25">
        <f t="shared" si="59"/>
        <v>0</v>
      </c>
      <c r="BC78" s="25">
        <f t="shared" si="60"/>
        <v>0</v>
      </c>
      <c r="BD78" s="25">
        <f t="shared" si="61"/>
        <v>0</v>
      </c>
      <c r="BE78" s="25">
        <f t="shared" si="62"/>
        <v>0</v>
      </c>
      <c r="BF78" s="25">
        <f t="shared" si="63"/>
        <v>31.2</v>
      </c>
    </row>
    <row r="79" spans="1:58" s="25" customFormat="1" ht="15" customHeight="1" x14ac:dyDescent="0.25">
      <c r="A79" s="38" t="s">
        <v>155</v>
      </c>
      <c r="B79" s="38">
        <v>32</v>
      </c>
      <c r="C79" s="27"/>
      <c r="D79" s="27"/>
      <c r="E79" s="20">
        <v>17</v>
      </c>
      <c r="F79" s="20"/>
      <c r="G79" s="20"/>
      <c r="H79" s="20">
        <v>32</v>
      </c>
      <c r="I79" s="20">
        <v>11</v>
      </c>
      <c r="J79" s="20">
        <f t="shared" si="33"/>
        <v>49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>
        <v>49</v>
      </c>
      <c r="V79" s="23"/>
      <c r="W79" s="23"/>
      <c r="X79" s="43"/>
      <c r="Y79" s="23"/>
      <c r="Z79" s="23"/>
      <c r="AA79" s="23"/>
      <c r="AB79" s="24">
        <f t="shared" si="34"/>
        <v>0</v>
      </c>
      <c r="AC79" s="24">
        <f t="shared" si="35"/>
        <v>49</v>
      </c>
      <c r="AD79" s="25">
        <v>1.05</v>
      </c>
      <c r="AE79" s="25">
        <f t="shared" si="36"/>
        <v>33.6</v>
      </c>
      <c r="AF79" s="25">
        <f t="shared" si="37"/>
        <v>0</v>
      </c>
      <c r="AG79" s="25">
        <f t="shared" si="38"/>
        <v>0</v>
      </c>
      <c r="AH79" s="25">
        <f t="shared" si="39"/>
        <v>17.850000000000001</v>
      </c>
      <c r="AI79" s="25">
        <f t="shared" si="40"/>
        <v>0</v>
      </c>
      <c r="AJ79" s="25">
        <f t="shared" si="41"/>
        <v>0</v>
      </c>
      <c r="AK79" s="25">
        <f t="shared" si="42"/>
        <v>33.6</v>
      </c>
      <c r="AL79" s="25">
        <f t="shared" si="43"/>
        <v>11.55</v>
      </c>
      <c r="AM79" s="25">
        <f t="shared" si="44"/>
        <v>51.45</v>
      </c>
      <c r="AN79" s="25">
        <f t="shared" si="45"/>
        <v>0</v>
      </c>
      <c r="AO79" s="25">
        <f t="shared" si="46"/>
        <v>0</v>
      </c>
      <c r="AP79" s="25">
        <f t="shared" si="47"/>
        <v>0</v>
      </c>
      <c r="AQ79" s="25">
        <f t="shared" si="48"/>
        <v>0</v>
      </c>
      <c r="AR79" s="25">
        <f t="shared" si="49"/>
        <v>0</v>
      </c>
      <c r="AS79" s="25">
        <f t="shared" si="50"/>
        <v>0</v>
      </c>
      <c r="AT79" s="25">
        <f t="shared" si="51"/>
        <v>0</v>
      </c>
      <c r="AU79" s="25">
        <f t="shared" si="52"/>
        <v>0</v>
      </c>
      <c r="AV79" s="25">
        <f t="shared" si="53"/>
        <v>0</v>
      </c>
      <c r="AW79" s="25">
        <f t="shared" si="54"/>
        <v>0</v>
      </c>
      <c r="AX79" s="25">
        <f t="shared" si="55"/>
        <v>51.45</v>
      </c>
      <c r="AY79" s="25">
        <f t="shared" si="56"/>
        <v>0</v>
      </c>
      <c r="AZ79" s="25">
        <f t="shared" si="57"/>
        <v>0</v>
      </c>
      <c r="BA79" s="25">
        <f t="shared" si="58"/>
        <v>0</v>
      </c>
      <c r="BB79" s="25">
        <f t="shared" si="59"/>
        <v>0</v>
      </c>
      <c r="BC79" s="25">
        <f t="shared" si="60"/>
        <v>0</v>
      </c>
      <c r="BD79" s="25">
        <f t="shared" si="61"/>
        <v>0</v>
      </c>
      <c r="BE79" s="25">
        <f t="shared" si="62"/>
        <v>0</v>
      </c>
      <c r="BF79" s="25">
        <f t="shared" si="63"/>
        <v>51.45</v>
      </c>
    </row>
    <row r="80" spans="1:58" s="25" customFormat="1" ht="15" customHeight="1" x14ac:dyDescent="0.25">
      <c r="A80" s="38" t="s">
        <v>156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33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43"/>
      <c r="Y80" s="23"/>
      <c r="Z80" s="23"/>
      <c r="AA80" s="23"/>
      <c r="AB80" s="24">
        <f t="shared" si="34"/>
        <v>0</v>
      </c>
      <c r="AC80" s="24">
        <f t="shared" si="35"/>
        <v>0</v>
      </c>
      <c r="AD80" s="25">
        <v>15.19</v>
      </c>
      <c r="AE80" s="25">
        <f t="shared" si="36"/>
        <v>0</v>
      </c>
      <c r="AF80" s="25">
        <f t="shared" si="37"/>
        <v>0</v>
      </c>
      <c r="AG80" s="25">
        <f t="shared" si="38"/>
        <v>0</v>
      </c>
      <c r="AH80" s="25">
        <f t="shared" si="39"/>
        <v>0</v>
      </c>
      <c r="AI80" s="25">
        <f t="shared" si="40"/>
        <v>0</v>
      </c>
      <c r="AJ80" s="25">
        <f t="shared" si="41"/>
        <v>0</v>
      </c>
      <c r="AK80" s="25">
        <f t="shared" si="42"/>
        <v>0</v>
      </c>
      <c r="AL80" s="25">
        <f t="shared" si="43"/>
        <v>0</v>
      </c>
      <c r="AM80" s="25">
        <f t="shared" si="44"/>
        <v>0</v>
      </c>
      <c r="AN80" s="25">
        <f t="shared" si="45"/>
        <v>0</v>
      </c>
      <c r="AO80" s="25">
        <f t="shared" si="46"/>
        <v>0</v>
      </c>
      <c r="AP80" s="25">
        <f t="shared" si="47"/>
        <v>0</v>
      </c>
      <c r="AQ80" s="25">
        <f t="shared" si="48"/>
        <v>0</v>
      </c>
      <c r="AR80" s="25">
        <f t="shared" si="49"/>
        <v>0</v>
      </c>
      <c r="AS80" s="25">
        <f t="shared" si="50"/>
        <v>0</v>
      </c>
      <c r="AT80" s="25">
        <f t="shared" si="51"/>
        <v>0</v>
      </c>
      <c r="AU80" s="25">
        <f t="shared" si="52"/>
        <v>0</v>
      </c>
      <c r="AV80" s="25">
        <f t="shared" si="53"/>
        <v>0</v>
      </c>
      <c r="AW80" s="25">
        <f t="shared" si="54"/>
        <v>0</v>
      </c>
      <c r="AX80" s="25">
        <f t="shared" si="55"/>
        <v>0</v>
      </c>
      <c r="AY80" s="25">
        <f t="shared" si="56"/>
        <v>0</v>
      </c>
      <c r="AZ80" s="25">
        <f t="shared" si="57"/>
        <v>0</v>
      </c>
      <c r="BA80" s="25">
        <f t="shared" si="58"/>
        <v>0</v>
      </c>
      <c r="BB80" s="25">
        <f t="shared" si="59"/>
        <v>0</v>
      </c>
      <c r="BC80" s="25">
        <f t="shared" si="60"/>
        <v>0</v>
      </c>
      <c r="BD80" s="25">
        <f t="shared" si="61"/>
        <v>0</v>
      </c>
      <c r="BE80" s="25">
        <f t="shared" si="62"/>
        <v>0</v>
      </c>
      <c r="BF80" s="25">
        <f t="shared" si="63"/>
        <v>0</v>
      </c>
    </row>
    <row r="81" spans="1:58" s="25" customFormat="1" ht="15" customHeight="1" x14ac:dyDescent="0.25">
      <c r="A81" s="38" t="s">
        <v>157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33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43"/>
      <c r="Y81" s="23"/>
      <c r="Z81" s="23"/>
      <c r="AA81" s="23"/>
      <c r="AB81" s="24">
        <f t="shared" si="34"/>
        <v>0</v>
      </c>
      <c r="AC81" s="24">
        <f t="shared" si="35"/>
        <v>0</v>
      </c>
      <c r="AD81" s="25">
        <v>15.19</v>
      </c>
      <c r="AE81" s="25">
        <f t="shared" si="36"/>
        <v>0</v>
      </c>
      <c r="AF81" s="25">
        <f t="shared" si="37"/>
        <v>0</v>
      </c>
      <c r="AG81" s="25">
        <f t="shared" si="38"/>
        <v>0</v>
      </c>
      <c r="AH81" s="25">
        <f t="shared" si="39"/>
        <v>0</v>
      </c>
      <c r="AI81" s="25">
        <f t="shared" si="40"/>
        <v>0</v>
      </c>
      <c r="AJ81" s="25">
        <f t="shared" si="41"/>
        <v>0</v>
      </c>
      <c r="AK81" s="25">
        <f t="shared" si="42"/>
        <v>0</v>
      </c>
      <c r="AL81" s="25">
        <f t="shared" si="43"/>
        <v>0</v>
      </c>
      <c r="AM81" s="25">
        <f t="shared" si="44"/>
        <v>0</v>
      </c>
      <c r="AN81" s="25">
        <f t="shared" si="45"/>
        <v>0</v>
      </c>
      <c r="AO81" s="25">
        <f t="shared" si="46"/>
        <v>0</v>
      </c>
      <c r="AP81" s="25">
        <f t="shared" si="47"/>
        <v>0</v>
      </c>
      <c r="AQ81" s="25">
        <f t="shared" si="48"/>
        <v>0</v>
      </c>
      <c r="AR81" s="25">
        <f t="shared" si="49"/>
        <v>0</v>
      </c>
      <c r="AS81" s="25">
        <f t="shared" si="50"/>
        <v>0</v>
      </c>
      <c r="AT81" s="25">
        <f t="shared" si="51"/>
        <v>0</v>
      </c>
      <c r="AU81" s="25">
        <f t="shared" si="52"/>
        <v>0</v>
      </c>
      <c r="AV81" s="25">
        <f t="shared" si="53"/>
        <v>0</v>
      </c>
      <c r="AW81" s="25">
        <f t="shared" si="54"/>
        <v>0</v>
      </c>
      <c r="AX81" s="25">
        <f t="shared" si="55"/>
        <v>0</v>
      </c>
      <c r="AY81" s="25">
        <f t="shared" si="56"/>
        <v>0</v>
      </c>
      <c r="AZ81" s="25">
        <f t="shared" si="57"/>
        <v>0</v>
      </c>
      <c r="BA81" s="25">
        <f t="shared" si="58"/>
        <v>0</v>
      </c>
      <c r="BB81" s="25">
        <f t="shared" si="59"/>
        <v>0</v>
      </c>
      <c r="BC81" s="25">
        <f t="shared" si="60"/>
        <v>0</v>
      </c>
      <c r="BD81" s="25">
        <f t="shared" si="61"/>
        <v>0</v>
      </c>
      <c r="BE81" s="25">
        <f t="shared" si="62"/>
        <v>0</v>
      </c>
      <c r="BF81" s="25">
        <f t="shared" si="63"/>
        <v>0</v>
      </c>
    </row>
    <row r="82" spans="1:58" s="25" customFormat="1" ht="15" customHeight="1" x14ac:dyDescent="0.25">
      <c r="A82" s="38" t="s">
        <v>158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33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43"/>
      <c r="Y82" s="23"/>
      <c r="Z82" s="23"/>
      <c r="AA82" s="23"/>
      <c r="AB82" s="24">
        <f t="shared" si="34"/>
        <v>0</v>
      </c>
      <c r="AC82" s="24">
        <f t="shared" si="35"/>
        <v>0</v>
      </c>
      <c r="AD82" s="25">
        <v>8</v>
      </c>
      <c r="AE82" s="25">
        <f t="shared" si="36"/>
        <v>0</v>
      </c>
      <c r="AF82" s="25">
        <f t="shared" si="37"/>
        <v>0</v>
      </c>
      <c r="AG82" s="25">
        <f t="shared" si="38"/>
        <v>0</v>
      </c>
      <c r="AH82" s="25">
        <f t="shared" si="39"/>
        <v>0</v>
      </c>
      <c r="AI82" s="25">
        <f t="shared" si="40"/>
        <v>0</v>
      </c>
      <c r="AJ82" s="25">
        <f t="shared" si="41"/>
        <v>0</v>
      </c>
      <c r="AK82" s="25">
        <f t="shared" si="42"/>
        <v>0</v>
      </c>
      <c r="AL82" s="25">
        <f t="shared" si="43"/>
        <v>0</v>
      </c>
      <c r="AM82" s="25">
        <f t="shared" si="44"/>
        <v>0</v>
      </c>
      <c r="AN82" s="25">
        <f t="shared" si="45"/>
        <v>0</v>
      </c>
      <c r="AO82" s="25">
        <f t="shared" si="46"/>
        <v>0</v>
      </c>
      <c r="AP82" s="25">
        <f t="shared" si="47"/>
        <v>0</v>
      </c>
      <c r="AQ82" s="25">
        <f t="shared" si="48"/>
        <v>0</v>
      </c>
      <c r="AR82" s="25">
        <f t="shared" si="49"/>
        <v>0</v>
      </c>
      <c r="AS82" s="25">
        <f t="shared" si="50"/>
        <v>0</v>
      </c>
      <c r="AT82" s="25">
        <f t="shared" si="51"/>
        <v>0</v>
      </c>
      <c r="AU82" s="25">
        <f t="shared" si="52"/>
        <v>0</v>
      </c>
      <c r="AV82" s="25">
        <f t="shared" si="53"/>
        <v>0</v>
      </c>
      <c r="AW82" s="25">
        <f t="shared" si="54"/>
        <v>0</v>
      </c>
      <c r="AX82" s="25">
        <f t="shared" si="55"/>
        <v>0</v>
      </c>
      <c r="AY82" s="25">
        <f t="shared" si="56"/>
        <v>0</v>
      </c>
      <c r="AZ82" s="25">
        <f t="shared" si="57"/>
        <v>0</v>
      </c>
      <c r="BA82" s="25">
        <f t="shared" si="58"/>
        <v>0</v>
      </c>
      <c r="BB82" s="25">
        <f t="shared" si="59"/>
        <v>0</v>
      </c>
      <c r="BC82" s="25">
        <f t="shared" si="60"/>
        <v>0</v>
      </c>
      <c r="BD82" s="25">
        <f t="shared" si="61"/>
        <v>0</v>
      </c>
      <c r="BE82" s="25">
        <f t="shared" si="62"/>
        <v>0</v>
      </c>
      <c r="BF82" s="25">
        <f t="shared" si="63"/>
        <v>0</v>
      </c>
    </row>
    <row r="83" spans="1:58" s="25" customFormat="1" ht="15" customHeight="1" x14ac:dyDescent="0.25">
      <c r="A83" s="38" t="s">
        <v>159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33"/>
        <v>18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43"/>
      <c r="Y83" s="23"/>
      <c r="Z83" s="23"/>
      <c r="AA83" s="23"/>
      <c r="AB83" s="24">
        <f t="shared" si="34"/>
        <v>0</v>
      </c>
      <c r="AC83" s="24">
        <f t="shared" si="35"/>
        <v>18</v>
      </c>
      <c r="AD83" s="25">
        <v>1.08</v>
      </c>
      <c r="AE83" s="25">
        <f t="shared" si="36"/>
        <v>19.440000000000001</v>
      </c>
      <c r="AF83" s="25">
        <f t="shared" si="37"/>
        <v>0</v>
      </c>
      <c r="AG83" s="25">
        <f t="shared" si="38"/>
        <v>0</v>
      </c>
      <c r="AH83" s="25">
        <f t="shared" si="39"/>
        <v>0</v>
      </c>
      <c r="AI83" s="25">
        <f t="shared" si="40"/>
        <v>30.240000000000002</v>
      </c>
      <c r="AJ83" s="25">
        <f t="shared" si="41"/>
        <v>0</v>
      </c>
      <c r="AK83" s="25">
        <f t="shared" si="42"/>
        <v>0</v>
      </c>
      <c r="AL83" s="25">
        <f t="shared" si="43"/>
        <v>0</v>
      </c>
      <c r="AM83" s="25">
        <f t="shared" si="44"/>
        <v>19.440000000000001</v>
      </c>
      <c r="AN83" s="25">
        <f t="shared" si="45"/>
        <v>0</v>
      </c>
      <c r="AO83" s="25">
        <f t="shared" si="46"/>
        <v>0</v>
      </c>
      <c r="AP83" s="25">
        <f t="shared" si="47"/>
        <v>0</v>
      </c>
      <c r="AQ83" s="25">
        <f t="shared" si="48"/>
        <v>0</v>
      </c>
      <c r="AR83" s="25">
        <f t="shared" si="49"/>
        <v>0</v>
      </c>
      <c r="AS83" s="25">
        <f t="shared" si="50"/>
        <v>0</v>
      </c>
      <c r="AT83" s="25">
        <f t="shared" si="51"/>
        <v>0</v>
      </c>
      <c r="AU83" s="25">
        <f t="shared" si="52"/>
        <v>0</v>
      </c>
      <c r="AV83" s="25">
        <f t="shared" si="53"/>
        <v>0</v>
      </c>
      <c r="AW83" s="25">
        <f t="shared" si="54"/>
        <v>0</v>
      </c>
      <c r="AX83" s="25">
        <f t="shared" si="55"/>
        <v>0</v>
      </c>
      <c r="AY83" s="25">
        <f t="shared" si="56"/>
        <v>0</v>
      </c>
      <c r="AZ83" s="25">
        <f t="shared" si="57"/>
        <v>0</v>
      </c>
      <c r="BA83" s="25">
        <f t="shared" si="58"/>
        <v>0</v>
      </c>
      <c r="BB83" s="25">
        <f t="shared" si="59"/>
        <v>0</v>
      </c>
      <c r="BC83" s="25">
        <f t="shared" si="60"/>
        <v>0</v>
      </c>
      <c r="BD83" s="25">
        <f t="shared" si="61"/>
        <v>0</v>
      </c>
      <c r="BE83" s="25">
        <f t="shared" si="62"/>
        <v>0</v>
      </c>
      <c r="BF83" s="25">
        <f t="shared" si="63"/>
        <v>19.440000000000001</v>
      </c>
    </row>
    <row r="84" spans="1:58" s="25" customFormat="1" ht="15" customHeight="1" x14ac:dyDescent="0.25">
      <c r="A84" s="38" t="s">
        <v>160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33"/>
        <v>26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>
        <v>45</v>
      </c>
      <c r="U84" s="23"/>
      <c r="V84" s="23"/>
      <c r="W84" s="23"/>
      <c r="X84" s="43"/>
      <c r="Y84" s="23"/>
      <c r="Z84" s="23"/>
      <c r="AA84" s="23"/>
      <c r="AB84" s="24">
        <f t="shared" si="34"/>
        <v>42</v>
      </c>
      <c r="AC84" s="24">
        <f t="shared" si="35"/>
        <v>-16</v>
      </c>
      <c r="AD84" s="25">
        <v>1.08</v>
      </c>
      <c r="AE84" s="25">
        <f t="shared" si="36"/>
        <v>28.080000000000002</v>
      </c>
      <c r="AF84" s="25">
        <f t="shared" si="37"/>
        <v>16.200000000000003</v>
      </c>
      <c r="AG84" s="25">
        <f t="shared" si="38"/>
        <v>0</v>
      </c>
      <c r="AH84" s="25">
        <f t="shared" si="39"/>
        <v>0</v>
      </c>
      <c r="AI84" s="25">
        <f t="shared" si="40"/>
        <v>32.400000000000006</v>
      </c>
      <c r="AJ84" s="25">
        <f t="shared" si="41"/>
        <v>5.4</v>
      </c>
      <c r="AK84" s="25">
        <f t="shared" si="42"/>
        <v>0</v>
      </c>
      <c r="AL84" s="25">
        <f t="shared" si="43"/>
        <v>0</v>
      </c>
      <c r="AM84" s="25">
        <f t="shared" si="44"/>
        <v>28.080000000000002</v>
      </c>
      <c r="AN84" s="25">
        <f t="shared" si="45"/>
        <v>0</v>
      </c>
      <c r="AO84" s="25">
        <f t="shared" si="46"/>
        <v>0</v>
      </c>
      <c r="AP84" s="25">
        <f t="shared" si="47"/>
        <v>45.36</v>
      </c>
      <c r="AQ84" s="25">
        <f t="shared" si="48"/>
        <v>0</v>
      </c>
      <c r="AR84" s="25">
        <f t="shared" si="49"/>
        <v>0</v>
      </c>
      <c r="AS84" s="25">
        <f t="shared" si="50"/>
        <v>0</v>
      </c>
      <c r="AT84" s="25">
        <f t="shared" si="51"/>
        <v>0</v>
      </c>
      <c r="AU84" s="25">
        <f t="shared" si="52"/>
        <v>0</v>
      </c>
      <c r="AV84" s="25">
        <f t="shared" si="53"/>
        <v>0</v>
      </c>
      <c r="AW84" s="25">
        <f t="shared" si="54"/>
        <v>48.6</v>
      </c>
      <c r="AX84" s="25">
        <f t="shared" si="55"/>
        <v>0</v>
      </c>
      <c r="AY84" s="25">
        <f t="shared" si="56"/>
        <v>0</v>
      </c>
      <c r="AZ84" s="25">
        <f t="shared" si="57"/>
        <v>0</v>
      </c>
      <c r="BA84" s="25">
        <f t="shared" si="58"/>
        <v>0</v>
      </c>
      <c r="BB84" s="25">
        <f t="shared" si="59"/>
        <v>0</v>
      </c>
      <c r="BC84" s="25">
        <f t="shared" si="60"/>
        <v>0</v>
      </c>
      <c r="BD84" s="25">
        <f t="shared" si="61"/>
        <v>0</v>
      </c>
      <c r="BE84" s="25">
        <f t="shared" si="62"/>
        <v>45.36</v>
      </c>
      <c r="BF84" s="25">
        <f t="shared" si="63"/>
        <v>-17.28</v>
      </c>
    </row>
    <row r="85" spans="1:58" s="25" customFormat="1" ht="15" customHeight="1" x14ac:dyDescent="0.25">
      <c r="A85" s="38" t="s">
        <v>161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33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43"/>
      <c r="Y85" s="23"/>
      <c r="Z85" s="23"/>
      <c r="AA85" s="23"/>
      <c r="AB85" s="24">
        <f t="shared" si="34"/>
        <v>0</v>
      </c>
      <c r="AC85" s="24">
        <f t="shared" si="35"/>
        <v>0</v>
      </c>
      <c r="AD85" s="25">
        <v>1.08</v>
      </c>
      <c r="AE85" s="25">
        <f t="shared" si="36"/>
        <v>0</v>
      </c>
      <c r="AF85" s="25">
        <f t="shared" si="37"/>
        <v>0</v>
      </c>
      <c r="AG85" s="25">
        <f t="shared" si="38"/>
        <v>0</v>
      </c>
      <c r="AH85" s="25">
        <f t="shared" si="39"/>
        <v>0</v>
      </c>
      <c r="AI85" s="25">
        <f t="shared" si="40"/>
        <v>0</v>
      </c>
      <c r="AJ85" s="25">
        <f t="shared" si="41"/>
        <v>0</v>
      </c>
      <c r="AK85" s="25">
        <f t="shared" si="42"/>
        <v>0</v>
      </c>
      <c r="AL85" s="25">
        <f t="shared" si="43"/>
        <v>0</v>
      </c>
      <c r="AM85" s="25">
        <f t="shared" si="44"/>
        <v>0</v>
      </c>
      <c r="AN85" s="25">
        <f t="shared" si="45"/>
        <v>0</v>
      </c>
      <c r="AO85" s="25">
        <f t="shared" si="46"/>
        <v>0</v>
      </c>
      <c r="AP85" s="25">
        <f t="shared" si="47"/>
        <v>0</v>
      </c>
      <c r="AQ85" s="25">
        <f t="shared" si="48"/>
        <v>0</v>
      </c>
      <c r="AR85" s="25">
        <f t="shared" si="49"/>
        <v>0</v>
      </c>
      <c r="AS85" s="25">
        <f t="shared" si="50"/>
        <v>0</v>
      </c>
      <c r="AT85" s="25">
        <f t="shared" si="51"/>
        <v>0</v>
      </c>
      <c r="AU85" s="25">
        <f t="shared" si="52"/>
        <v>0</v>
      </c>
      <c r="AV85" s="25">
        <f t="shared" si="53"/>
        <v>0</v>
      </c>
      <c r="AW85" s="25">
        <f t="shared" si="54"/>
        <v>0</v>
      </c>
      <c r="AX85" s="25">
        <f t="shared" si="55"/>
        <v>0</v>
      </c>
      <c r="AY85" s="25">
        <f t="shared" si="56"/>
        <v>0</v>
      </c>
      <c r="AZ85" s="25">
        <f t="shared" si="57"/>
        <v>0</v>
      </c>
      <c r="BA85" s="25">
        <f t="shared" si="58"/>
        <v>0</v>
      </c>
      <c r="BB85" s="25">
        <f t="shared" si="59"/>
        <v>0</v>
      </c>
      <c r="BC85" s="25">
        <f t="shared" si="60"/>
        <v>0</v>
      </c>
      <c r="BD85" s="25">
        <f t="shared" si="61"/>
        <v>0</v>
      </c>
      <c r="BE85" s="25">
        <f t="shared" si="62"/>
        <v>0</v>
      </c>
      <c r="BF85" s="25">
        <f t="shared" si="63"/>
        <v>0</v>
      </c>
    </row>
    <row r="86" spans="1:58" s="25" customFormat="1" ht="15" customHeight="1" x14ac:dyDescent="0.25">
      <c r="A86" s="38" t="s">
        <v>162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33"/>
        <v>0</v>
      </c>
      <c r="K86" s="21"/>
      <c r="L86" s="23"/>
      <c r="M86" s="23"/>
      <c r="N86" s="43"/>
      <c r="O86" s="43"/>
      <c r="P86" s="23"/>
      <c r="Q86" s="23"/>
      <c r="R86" s="23">
        <v>336</v>
      </c>
      <c r="S86" s="23"/>
      <c r="T86" s="23"/>
      <c r="U86" s="23"/>
      <c r="V86" s="23"/>
      <c r="W86" s="23"/>
      <c r="X86" s="43"/>
      <c r="Y86" s="23"/>
      <c r="Z86" s="23"/>
      <c r="AA86" s="23"/>
      <c r="AB86" s="24">
        <f t="shared" si="34"/>
        <v>336</v>
      </c>
      <c r="AC86" s="24">
        <f t="shared" si="35"/>
        <v>-336</v>
      </c>
      <c r="AD86" s="25">
        <v>0.5</v>
      </c>
      <c r="AE86" s="25">
        <f t="shared" si="36"/>
        <v>0</v>
      </c>
      <c r="AF86" s="25">
        <f t="shared" si="37"/>
        <v>0</v>
      </c>
      <c r="AG86" s="25">
        <f t="shared" si="38"/>
        <v>0</v>
      </c>
      <c r="AH86" s="25">
        <f t="shared" si="39"/>
        <v>0</v>
      </c>
      <c r="AI86" s="25">
        <f t="shared" si="40"/>
        <v>0</v>
      </c>
      <c r="AJ86" s="25">
        <f t="shared" si="41"/>
        <v>0</v>
      </c>
      <c r="AK86" s="25">
        <f t="shared" si="42"/>
        <v>0</v>
      </c>
      <c r="AL86" s="25">
        <f t="shared" si="43"/>
        <v>0</v>
      </c>
      <c r="AM86" s="25">
        <f t="shared" si="44"/>
        <v>0</v>
      </c>
      <c r="AN86" s="25">
        <f t="shared" si="45"/>
        <v>0</v>
      </c>
      <c r="AO86" s="25">
        <f t="shared" si="46"/>
        <v>0</v>
      </c>
      <c r="AP86" s="25">
        <f t="shared" si="47"/>
        <v>0</v>
      </c>
      <c r="AQ86" s="25">
        <f t="shared" si="48"/>
        <v>0</v>
      </c>
      <c r="AR86" s="25">
        <f t="shared" si="49"/>
        <v>0</v>
      </c>
      <c r="AS86" s="25">
        <f t="shared" si="50"/>
        <v>0</v>
      </c>
      <c r="AT86" s="25">
        <f t="shared" si="51"/>
        <v>0</v>
      </c>
      <c r="AU86" s="25">
        <f t="shared" si="52"/>
        <v>168</v>
      </c>
      <c r="AV86" s="25">
        <f t="shared" si="53"/>
        <v>0</v>
      </c>
      <c r="AW86" s="25">
        <f t="shared" si="54"/>
        <v>0</v>
      </c>
      <c r="AX86" s="25">
        <f t="shared" si="55"/>
        <v>0</v>
      </c>
      <c r="AY86" s="25">
        <f t="shared" si="56"/>
        <v>0</v>
      </c>
      <c r="AZ86" s="25">
        <f t="shared" si="57"/>
        <v>0</v>
      </c>
      <c r="BA86" s="25">
        <f t="shared" si="58"/>
        <v>0</v>
      </c>
      <c r="BB86" s="25">
        <f t="shared" si="59"/>
        <v>0</v>
      </c>
      <c r="BC86" s="25">
        <f t="shared" si="60"/>
        <v>0</v>
      </c>
      <c r="BD86" s="25">
        <f t="shared" si="61"/>
        <v>0</v>
      </c>
      <c r="BE86" s="25">
        <f t="shared" si="62"/>
        <v>168</v>
      </c>
      <c r="BF86" s="25">
        <f t="shared" si="63"/>
        <v>-168</v>
      </c>
    </row>
    <row r="87" spans="1:58" s="25" customFormat="1" ht="15" customHeight="1" x14ac:dyDescent="0.25">
      <c r="A87" s="38" t="s">
        <v>163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33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43"/>
      <c r="Y87" s="23"/>
      <c r="Z87" s="23"/>
      <c r="AA87" s="23"/>
      <c r="AB87" s="24">
        <f t="shared" si="34"/>
        <v>0</v>
      </c>
      <c r="AC87" s="24">
        <f t="shared" si="35"/>
        <v>10</v>
      </c>
      <c r="AD87" s="25">
        <v>12.4</v>
      </c>
      <c r="AE87" s="25">
        <f t="shared" si="36"/>
        <v>124</v>
      </c>
      <c r="AF87" s="25">
        <f t="shared" si="37"/>
        <v>0</v>
      </c>
      <c r="AG87" s="25">
        <f t="shared" si="38"/>
        <v>0</v>
      </c>
      <c r="AH87" s="25">
        <f t="shared" si="39"/>
        <v>0</v>
      </c>
      <c r="AI87" s="25">
        <f t="shared" si="40"/>
        <v>0</v>
      </c>
      <c r="AJ87" s="25">
        <f t="shared" si="41"/>
        <v>0</v>
      </c>
      <c r="AK87" s="25">
        <f t="shared" si="42"/>
        <v>0</v>
      </c>
      <c r="AL87" s="25">
        <f t="shared" si="43"/>
        <v>0</v>
      </c>
      <c r="AM87" s="25">
        <f t="shared" si="44"/>
        <v>124</v>
      </c>
      <c r="AN87" s="25">
        <f t="shared" si="45"/>
        <v>0</v>
      </c>
      <c r="AO87" s="25">
        <f t="shared" si="46"/>
        <v>0</v>
      </c>
      <c r="AP87" s="25">
        <f t="shared" si="47"/>
        <v>0</v>
      </c>
      <c r="AQ87" s="25">
        <f t="shared" si="48"/>
        <v>0</v>
      </c>
      <c r="AR87" s="25">
        <f t="shared" si="49"/>
        <v>0</v>
      </c>
      <c r="AS87" s="25">
        <f t="shared" si="50"/>
        <v>0</v>
      </c>
      <c r="AT87" s="25">
        <f t="shared" si="51"/>
        <v>0</v>
      </c>
      <c r="AU87" s="25">
        <f t="shared" si="52"/>
        <v>0</v>
      </c>
      <c r="AV87" s="25">
        <f t="shared" si="53"/>
        <v>0</v>
      </c>
      <c r="AW87" s="25">
        <f t="shared" si="54"/>
        <v>0</v>
      </c>
      <c r="AX87" s="25">
        <f t="shared" si="55"/>
        <v>0</v>
      </c>
      <c r="AY87" s="25">
        <f t="shared" si="56"/>
        <v>0</v>
      </c>
      <c r="AZ87" s="25">
        <f t="shared" si="57"/>
        <v>0</v>
      </c>
      <c r="BA87" s="25">
        <f t="shared" si="58"/>
        <v>0</v>
      </c>
      <c r="BB87" s="25">
        <f t="shared" si="59"/>
        <v>0</v>
      </c>
      <c r="BC87" s="25">
        <f t="shared" si="60"/>
        <v>0</v>
      </c>
      <c r="BD87" s="25">
        <f t="shared" si="61"/>
        <v>0</v>
      </c>
      <c r="BE87" s="25">
        <f t="shared" si="62"/>
        <v>0</v>
      </c>
      <c r="BF87" s="25">
        <f t="shared" si="63"/>
        <v>124</v>
      </c>
    </row>
    <row r="88" spans="1:58" s="25" customFormat="1" ht="15" customHeight="1" x14ac:dyDescent="0.25">
      <c r="A88" s="38" t="s">
        <v>164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33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43"/>
      <c r="Y88" s="23"/>
      <c r="Z88" s="23"/>
      <c r="AA88" s="23"/>
      <c r="AB88" s="24">
        <f t="shared" si="34"/>
        <v>0</v>
      </c>
      <c r="AC88" s="24">
        <f t="shared" si="35"/>
        <v>152</v>
      </c>
      <c r="AD88" s="25">
        <v>0.45</v>
      </c>
      <c r="AE88" s="25">
        <f t="shared" si="36"/>
        <v>68.400000000000006</v>
      </c>
      <c r="AF88" s="25">
        <f t="shared" si="37"/>
        <v>0</v>
      </c>
      <c r="AG88" s="25">
        <f t="shared" si="38"/>
        <v>0</v>
      </c>
      <c r="AH88" s="25">
        <f t="shared" si="39"/>
        <v>0</v>
      </c>
      <c r="AI88" s="25">
        <f t="shared" si="40"/>
        <v>0</v>
      </c>
      <c r="AJ88" s="25">
        <f t="shared" si="41"/>
        <v>0</v>
      </c>
      <c r="AK88" s="25">
        <f t="shared" si="42"/>
        <v>0</v>
      </c>
      <c r="AL88" s="25">
        <f t="shared" si="43"/>
        <v>0</v>
      </c>
      <c r="AM88" s="25">
        <f t="shared" si="44"/>
        <v>68.400000000000006</v>
      </c>
      <c r="AN88" s="25">
        <f t="shared" si="45"/>
        <v>0</v>
      </c>
      <c r="AO88" s="25">
        <f t="shared" si="46"/>
        <v>0</v>
      </c>
      <c r="AP88" s="25">
        <f t="shared" si="47"/>
        <v>0</v>
      </c>
      <c r="AQ88" s="25">
        <f t="shared" si="48"/>
        <v>0</v>
      </c>
      <c r="AR88" s="25">
        <f t="shared" si="49"/>
        <v>0</v>
      </c>
      <c r="AS88" s="25">
        <f t="shared" si="50"/>
        <v>0</v>
      </c>
      <c r="AT88" s="25">
        <f t="shared" si="51"/>
        <v>0</v>
      </c>
      <c r="AU88" s="25">
        <f t="shared" si="52"/>
        <v>0</v>
      </c>
      <c r="AV88" s="25">
        <f t="shared" si="53"/>
        <v>0</v>
      </c>
      <c r="AW88" s="25">
        <f t="shared" si="54"/>
        <v>0</v>
      </c>
      <c r="AX88" s="25">
        <f t="shared" si="55"/>
        <v>0</v>
      </c>
      <c r="AY88" s="25">
        <f t="shared" si="56"/>
        <v>0</v>
      </c>
      <c r="AZ88" s="25">
        <f t="shared" si="57"/>
        <v>0</v>
      </c>
      <c r="BA88" s="25">
        <f t="shared" si="58"/>
        <v>0</v>
      </c>
      <c r="BB88" s="25">
        <f t="shared" si="59"/>
        <v>0</v>
      </c>
      <c r="BC88" s="25">
        <f t="shared" si="60"/>
        <v>0</v>
      </c>
      <c r="BD88" s="25">
        <f t="shared" si="61"/>
        <v>0</v>
      </c>
      <c r="BE88" s="25">
        <f t="shared" si="62"/>
        <v>0</v>
      </c>
      <c r="BF88" s="25">
        <f t="shared" si="63"/>
        <v>68.400000000000006</v>
      </c>
    </row>
    <row r="89" spans="1:58" s="25" customFormat="1" ht="15" customHeight="1" x14ac:dyDescent="0.25">
      <c r="A89" s="38" t="s">
        <v>165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33"/>
        <v>1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43"/>
      <c r="Y89" s="23"/>
      <c r="Z89" s="23"/>
      <c r="AA89" s="23">
        <v>1</v>
      </c>
      <c r="AB89" s="24">
        <f t="shared" si="34"/>
        <v>0</v>
      </c>
      <c r="AC89" s="24">
        <f t="shared" si="35"/>
        <v>1</v>
      </c>
      <c r="AD89" s="25">
        <v>6.75</v>
      </c>
      <c r="AE89" s="25">
        <f t="shared" si="36"/>
        <v>6.75</v>
      </c>
      <c r="AF89" s="25">
        <f t="shared" si="37"/>
        <v>0</v>
      </c>
      <c r="AG89" s="25">
        <f t="shared" si="38"/>
        <v>0</v>
      </c>
      <c r="AH89" s="25">
        <f t="shared" si="39"/>
        <v>0</v>
      </c>
      <c r="AI89" s="25">
        <f t="shared" si="40"/>
        <v>0</v>
      </c>
      <c r="AJ89" s="25">
        <f t="shared" si="41"/>
        <v>0</v>
      </c>
      <c r="AK89" s="25">
        <f t="shared" si="42"/>
        <v>0</v>
      </c>
      <c r="AL89" s="25">
        <f t="shared" si="43"/>
        <v>13.5</v>
      </c>
      <c r="AM89" s="25">
        <f t="shared" si="44"/>
        <v>6.75</v>
      </c>
      <c r="AN89" s="25">
        <f t="shared" si="45"/>
        <v>0</v>
      </c>
      <c r="AO89" s="25">
        <f t="shared" si="46"/>
        <v>0</v>
      </c>
      <c r="AP89" s="25">
        <f t="shared" si="47"/>
        <v>0</v>
      </c>
      <c r="AQ89" s="25">
        <f t="shared" si="48"/>
        <v>0</v>
      </c>
      <c r="AR89" s="25">
        <f t="shared" si="49"/>
        <v>0</v>
      </c>
      <c r="AS89" s="25">
        <f t="shared" si="50"/>
        <v>0</v>
      </c>
      <c r="AT89" s="25">
        <f t="shared" si="51"/>
        <v>0</v>
      </c>
      <c r="AU89" s="25">
        <f t="shared" si="52"/>
        <v>0</v>
      </c>
      <c r="AV89" s="25">
        <f t="shared" si="53"/>
        <v>0</v>
      </c>
      <c r="AW89" s="25">
        <f t="shared" si="54"/>
        <v>0</v>
      </c>
      <c r="AX89" s="25">
        <f t="shared" si="55"/>
        <v>0</v>
      </c>
      <c r="AY89" s="25">
        <f t="shared" si="56"/>
        <v>0</v>
      </c>
      <c r="AZ89" s="25">
        <f t="shared" si="57"/>
        <v>0</v>
      </c>
      <c r="BA89" s="25">
        <f t="shared" si="58"/>
        <v>0</v>
      </c>
      <c r="BB89" s="25">
        <f t="shared" si="59"/>
        <v>0</v>
      </c>
      <c r="BC89" s="25">
        <f t="shared" si="60"/>
        <v>0</v>
      </c>
      <c r="BD89" s="25">
        <f t="shared" si="61"/>
        <v>6.75</v>
      </c>
      <c r="BE89" s="25">
        <f t="shared" si="62"/>
        <v>0</v>
      </c>
      <c r="BF89" s="25">
        <f t="shared" si="63"/>
        <v>6.75</v>
      </c>
    </row>
    <row r="90" spans="1:58" s="25" customFormat="1" ht="15" customHeight="1" x14ac:dyDescent="0.25">
      <c r="A90" s="38" t="s">
        <v>166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33"/>
        <v>10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43"/>
      <c r="Y90" s="23"/>
      <c r="Z90" s="23"/>
      <c r="AA90" s="23">
        <v>7</v>
      </c>
      <c r="AB90" s="24">
        <f t="shared" si="34"/>
        <v>0</v>
      </c>
      <c r="AC90" s="24">
        <f t="shared" si="35"/>
        <v>10</v>
      </c>
      <c r="AD90" s="25">
        <v>9</v>
      </c>
      <c r="AE90" s="25">
        <f t="shared" si="36"/>
        <v>90</v>
      </c>
      <c r="AF90" s="25">
        <f t="shared" si="37"/>
        <v>0</v>
      </c>
      <c r="AG90" s="25">
        <f t="shared" si="38"/>
        <v>0</v>
      </c>
      <c r="AH90" s="25">
        <f t="shared" si="39"/>
        <v>0</v>
      </c>
      <c r="AI90" s="25">
        <f t="shared" si="40"/>
        <v>0</v>
      </c>
      <c r="AJ90" s="25">
        <f t="shared" si="41"/>
        <v>0</v>
      </c>
      <c r="AK90" s="25">
        <f t="shared" si="42"/>
        <v>0</v>
      </c>
      <c r="AL90" s="25">
        <f t="shared" si="43"/>
        <v>99</v>
      </c>
      <c r="AM90" s="25">
        <f t="shared" si="44"/>
        <v>90</v>
      </c>
      <c r="AN90" s="25">
        <f t="shared" si="45"/>
        <v>0</v>
      </c>
      <c r="AO90" s="25">
        <f t="shared" si="46"/>
        <v>0</v>
      </c>
      <c r="AP90" s="25">
        <f t="shared" si="47"/>
        <v>0</v>
      </c>
      <c r="AQ90" s="25">
        <f t="shared" si="48"/>
        <v>0</v>
      </c>
      <c r="AR90" s="25">
        <f t="shared" si="49"/>
        <v>0</v>
      </c>
      <c r="AS90" s="25">
        <f t="shared" si="50"/>
        <v>0</v>
      </c>
      <c r="AT90" s="25">
        <f t="shared" si="51"/>
        <v>0</v>
      </c>
      <c r="AU90" s="25">
        <f t="shared" si="52"/>
        <v>0</v>
      </c>
      <c r="AV90" s="25">
        <f t="shared" si="53"/>
        <v>0</v>
      </c>
      <c r="AW90" s="25">
        <f t="shared" si="54"/>
        <v>0</v>
      </c>
      <c r="AX90" s="25">
        <f t="shared" si="55"/>
        <v>0</v>
      </c>
      <c r="AY90" s="25">
        <f t="shared" si="56"/>
        <v>0</v>
      </c>
      <c r="AZ90" s="25">
        <f t="shared" si="57"/>
        <v>0</v>
      </c>
      <c r="BA90" s="25">
        <f t="shared" si="58"/>
        <v>0</v>
      </c>
      <c r="BB90" s="25">
        <f t="shared" si="59"/>
        <v>0</v>
      </c>
      <c r="BC90" s="25">
        <f t="shared" si="60"/>
        <v>0</v>
      </c>
      <c r="BD90" s="25">
        <f t="shared" si="61"/>
        <v>63</v>
      </c>
      <c r="BE90" s="25">
        <f t="shared" si="62"/>
        <v>0</v>
      </c>
      <c r="BF90" s="25">
        <f t="shared" si="63"/>
        <v>90</v>
      </c>
    </row>
    <row r="91" spans="1:58" s="25" customFormat="1" ht="15" customHeight="1" x14ac:dyDescent="0.25">
      <c r="A91" s="38" t="s">
        <v>167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33"/>
        <v>33</v>
      </c>
      <c r="K91" s="21"/>
      <c r="L91" s="23"/>
      <c r="M91" s="23"/>
      <c r="N91" s="43"/>
      <c r="O91" s="43"/>
      <c r="P91" s="23"/>
      <c r="Q91" s="23"/>
      <c r="R91" s="23"/>
      <c r="S91" s="23"/>
      <c r="T91" s="23"/>
      <c r="U91" s="23"/>
      <c r="V91" s="23"/>
      <c r="W91" s="23"/>
      <c r="X91" s="43"/>
      <c r="Y91" s="23"/>
      <c r="Z91" s="23"/>
      <c r="AA91" s="23">
        <v>20</v>
      </c>
      <c r="AB91" s="24">
        <f t="shared" si="34"/>
        <v>0</v>
      </c>
      <c r="AC91" s="24">
        <f t="shared" si="35"/>
        <v>33</v>
      </c>
      <c r="AD91" s="25">
        <v>18</v>
      </c>
      <c r="AE91" s="25">
        <f t="shared" si="36"/>
        <v>594</v>
      </c>
      <c r="AF91" s="25">
        <f t="shared" si="37"/>
        <v>0</v>
      </c>
      <c r="AG91" s="25">
        <f t="shared" si="38"/>
        <v>0</v>
      </c>
      <c r="AH91" s="25">
        <f t="shared" si="39"/>
        <v>0</v>
      </c>
      <c r="AI91" s="25">
        <f t="shared" si="40"/>
        <v>306</v>
      </c>
      <c r="AJ91" s="25">
        <f t="shared" si="41"/>
        <v>0</v>
      </c>
      <c r="AK91" s="25">
        <f t="shared" si="42"/>
        <v>0</v>
      </c>
      <c r="AL91" s="25">
        <f t="shared" si="43"/>
        <v>540</v>
      </c>
      <c r="AM91" s="25">
        <f t="shared" si="44"/>
        <v>594</v>
      </c>
      <c r="AN91" s="25">
        <f t="shared" si="45"/>
        <v>0</v>
      </c>
      <c r="AO91" s="25">
        <f t="shared" si="46"/>
        <v>0</v>
      </c>
      <c r="AP91" s="25">
        <f t="shared" si="47"/>
        <v>0</v>
      </c>
      <c r="AQ91" s="25">
        <f t="shared" si="48"/>
        <v>0</v>
      </c>
      <c r="AR91" s="25">
        <f t="shared" si="49"/>
        <v>0</v>
      </c>
      <c r="AS91" s="25">
        <f t="shared" si="50"/>
        <v>0</v>
      </c>
      <c r="AT91" s="25">
        <f t="shared" si="51"/>
        <v>0</v>
      </c>
      <c r="AU91" s="25">
        <f t="shared" si="52"/>
        <v>0</v>
      </c>
      <c r="AV91" s="25">
        <f t="shared" si="53"/>
        <v>0</v>
      </c>
      <c r="AW91" s="25">
        <f t="shared" si="54"/>
        <v>0</v>
      </c>
      <c r="AX91" s="25">
        <f t="shared" si="55"/>
        <v>0</v>
      </c>
      <c r="AY91" s="25">
        <f t="shared" si="56"/>
        <v>0</v>
      </c>
      <c r="AZ91" s="25">
        <f t="shared" si="57"/>
        <v>0</v>
      </c>
      <c r="BA91" s="25">
        <f t="shared" si="58"/>
        <v>0</v>
      </c>
      <c r="BB91" s="25">
        <f t="shared" si="59"/>
        <v>0</v>
      </c>
      <c r="BC91" s="25">
        <f t="shared" si="60"/>
        <v>0</v>
      </c>
      <c r="BD91" s="25">
        <f t="shared" si="61"/>
        <v>360</v>
      </c>
      <c r="BE91" s="25">
        <f t="shared" si="62"/>
        <v>0</v>
      </c>
      <c r="BF91" s="25">
        <f t="shared" si="63"/>
        <v>594</v>
      </c>
    </row>
    <row r="92" spans="1:58" s="25" customFormat="1" ht="15" customHeight="1" x14ac:dyDescent="0.25">
      <c r="A92" s="38" t="s">
        <v>168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33"/>
        <v>18</v>
      </c>
      <c r="K92" s="21"/>
      <c r="L92" s="23"/>
      <c r="M92" s="23"/>
      <c r="N92" s="43"/>
      <c r="O92" s="43"/>
      <c r="P92" s="23">
        <v>0</v>
      </c>
      <c r="Q92" s="23"/>
      <c r="R92" s="23">
        <v>0</v>
      </c>
      <c r="S92" s="23"/>
      <c r="T92" s="23"/>
      <c r="U92" s="23"/>
      <c r="V92" s="23"/>
      <c r="W92" s="23"/>
      <c r="X92" s="43"/>
      <c r="Y92" s="23"/>
      <c r="Z92" s="23"/>
      <c r="AA92" s="23"/>
      <c r="AB92" s="24">
        <f t="shared" si="34"/>
        <v>0</v>
      </c>
      <c r="AC92" s="24">
        <f t="shared" si="35"/>
        <v>18</v>
      </c>
      <c r="AD92" s="25">
        <v>5.5</v>
      </c>
      <c r="AE92" s="25">
        <f t="shared" si="36"/>
        <v>99</v>
      </c>
      <c r="AF92" s="25">
        <f t="shared" si="37"/>
        <v>0</v>
      </c>
      <c r="AG92" s="25">
        <f t="shared" si="38"/>
        <v>0</v>
      </c>
      <c r="AH92" s="25">
        <f t="shared" si="39"/>
        <v>0</v>
      </c>
      <c r="AI92" s="25">
        <f t="shared" si="40"/>
        <v>0</v>
      </c>
      <c r="AJ92" s="25">
        <f t="shared" si="41"/>
        <v>0</v>
      </c>
      <c r="AK92" s="25">
        <f t="shared" si="42"/>
        <v>0</v>
      </c>
      <c r="AL92" s="25">
        <f t="shared" si="43"/>
        <v>0</v>
      </c>
      <c r="AM92" s="25">
        <f t="shared" si="44"/>
        <v>99</v>
      </c>
      <c r="AN92" s="25">
        <f t="shared" si="45"/>
        <v>0</v>
      </c>
      <c r="AO92" s="25">
        <f t="shared" si="46"/>
        <v>0</v>
      </c>
      <c r="AP92" s="25">
        <f t="shared" si="47"/>
        <v>0</v>
      </c>
      <c r="AQ92" s="25">
        <f t="shared" si="48"/>
        <v>0</v>
      </c>
      <c r="AR92" s="25">
        <f t="shared" si="49"/>
        <v>0</v>
      </c>
      <c r="AS92" s="25">
        <f t="shared" si="50"/>
        <v>0</v>
      </c>
      <c r="AT92" s="25">
        <f t="shared" si="51"/>
        <v>0</v>
      </c>
      <c r="AU92" s="25">
        <f t="shared" si="52"/>
        <v>0</v>
      </c>
      <c r="AV92" s="25">
        <f t="shared" si="53"/>
        <v>0</v>
      </c>
      <c r="AW92" s="25">
        <f t="shared" si="54"/>
        <v>0</v>
      </c>
      <c r="AX92" s="25">
        <f t="shared" si="55"/>
        <v>0</v>
      </c>
      <c r="AY92" s="25">
        <f t="shared" si="56"/>
        <v>0</v>
      </c>
      <c r="AZ92" s="25">
        <f t="shared" si="57"/>
        <v>0</v>
      </c>
      <c r="BA92" s="25">
        <f t="shared" si="58"/>
        <v>0</v>
      </c>
      <c r="BB92" s="25">
        <f t="shared" si="59"/>
        <v>0</v>
      </c>
      <c r="BC92" s="25">
        <f t="shared" si="60"/>
        <v>0</v>
      </c>
      <c r="BD92" s="25">
        <f t="shared" si="61"/>
        <v>0</v>
      </c>
      <c r="BE92" s="25">
        <f t="shared" si="62"/>
        <v>0</v>
      </c>
      <c r="BF92" s="25">
        <f t="shared" si="63"/>
        <v>99</v>
      </c>
    </row>
    <row r="93" spans="1:58" s="25" customFormat="1" ht="15" customHeight="1" x14ac:dyDescent="0.25">
      <c r="A93" s="38" t="s">
        <v>169</v>
      </c>
      <c r="B93" s="38">
        <v>66</v>
      </c>
      <c r="C93" s="27"/>
      <c r="D93" s="27"/>
      <c r="E93" s="20">
        <v>6</v>
      </c>
      <c r="F93" s="20">
        <v>8</v>
      </c>
      <c r="G93" s="20"/>
      <c r="H93" s="20"/>
      <c r="I93" s="20">
        <v>8</v>
      </c>
      <c r="J93" s="20">
        <f t="shared" si="33"/>
        <v>72</v>
      </c>
      <c r="K93" s="21"/>
      <c r="L93" s="23"/>
      <c r="M93" s="23"/>
      <c r="N93" s="43"/>
      <c r="O93" s="43"/>
      <c r="P93" s="23">
        <v>2</v>
      </c>
      <c r="Q93" s="23"/>
      <c r="R93" s="23">
        <v>0</v>
      </c>
      <c r="S93" s="23"/>
      <c r="T93" s="23"/>
      <c r="U93" s="23"/>
      <c r="V93" s="23"/>
      <c r="W93" s="23"/>
      <c r="X93" s="43"/>
      <c r="Y93" s="23"/>
      <c r="Z93" s="23"/>
      <c r="AA93" s="23"/>
      <c r="AB93" s="24">
        <f t="shared" si="34"/>
        <v>2</v>
      </c>
      <c r="AC93" s="24">
        <f t="shared" si="35"/>
        <v>70</v>
      </c>
      <c r="AD93" s="25">
        <v>8.25</v>
      </c>
      <c r="AE93" s="25">
        <f t="shared" si="36"/>
        <v>544.5</v>
      </c>
      <c r="AF93" s="25">
        <f t="shared" si="37"/>
        <v>0</v>
      </c>
      <c r="AG93" s="25">
        <f t="shared" si="38"/>
        <v>0</v>
      </c>
      <c r="AH93" s="25">
        <f t="shared" si="39"/>
        <v>49.5</v>
      </c>
      <c r="AI93" s="25">
        <f t="shared" si="40"/>
        <v>66</v>
      </c>
      <c r="AJ93" s="25">
        <f t="shared" si="41"/>
        <v>0</v>
      </c>
      <c r="AK93" s="25">
        <f t="shared" si="42"/>
        <v>0</v>
      </c>
      <c r="AL93" s="25">
        <f t="shared" si="43"/>
        <v>66</v>
      </c>
      <c r="AM93" s="25">
        <f t="shared" si="44"/>
        <v>594</v>
      </c>
      <c r="AN93" s="25">
        <f t="shared" si="45"/>
        <v>0</v>
      </c>
      <c r="AO93" s="25">
        <f t="shared" si="46"/>
        <v>0</v>
      </c>
      <c r="AP93" s="25">
        <f t="shared" si="47"/>
        <v>0</v>
      </c>
      <c r="AQ93" s="25">
        <f t="shared" si="48"/>
        <v>0</v>
      </c>
      <c r="AR93" s="25">
        <f t="shared" si="49"/>
        <v>0</v>
      </c>
      <c r="AS93" s="25">
        <f t="shared" si="50"/>
        <v>16.5</v>
      </c>
      <c r="AT93" s="25">
        <f t="shared" si="51"/>
        <v>0</v>
      </c>
      <c r="AU93" s="25">
        <f t="shared" si="52"/>
        <v>0</v>
      </c>
      <c r="AV93" s="25">
        <f t="shared" si="53"/>
        <v>0</v>
      </c>
      <c r="AW93" s="25">
        <f t="shared" si="54"/>
        <v>0</v>
      </c>
      <c r="AX93" s="25">
        <f t="shared" si="55"/>
        <v>0</v>
      </c>
      <c r="AY93" s="25">
        <f t="shared" si="56"/>
        <v>0</v>
      </c>
      <c r="AZ93" s="25">
        <f t="shared" si="57"/>
        <v>0</v>
      </c>
      <c r="BA93" s="25">
        <f t="shared" si="58"/>
        <v>0</v>
      </c>
      <c r="BB93" s="25">
        <f t="shared" si="59"/>
        <v>0</v>
      </c>
      <c r="BC93" s="25">
        <f t="shared" si="60"/>
        <v>0</v>
      </c>
      <c r="BD93" s="25">
        <f t="shared" si="61"/>
        <v>0</v>
      </c>
      <c r="BE93" s="25">
        <f t="shared" si="62"/>
        <v>16.5</v>
      </c>
      <c r="BF93" s="25">
        <f t="shared" si="63"/>
        <v>577.5</v>
      </c>
    </row>
    <row r="94" spans="1:58" s="25" customFormat="1" ht="15" customHeight="1" x14ac:dyDescent="0.25">
      <c r="A94" s="38" t="s">
        <v>170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33"/>
        <v>48</v>
      </c>
      <c r="K94" s="21"/>
      <c r="L94" s="23"/>
      <c r="M94" s="23"/>
      <c r="N94" s="43"/>
      <c r="O94" s="43"/>
      <c r="P94" s="23">
        <v>5</v>
      </c>
      <c r="Q94" s="23"/>
      <c r="R94" s="23">
        <v>0</v>
      </c>
      <c r="S94" s="23"/>
      <c r="T94" s="23"/>
      <c r="U94" s="23"/>
      <c r="V94" s="23"/>
      <c r="W94" s="23"/>
      <c r="X94" s="43"/>
      <c r="Y94" s="23"/>
      <c r="Z94" s="23"/>
      <c r="AA94" s="23"/>
      <c r="AB94" s="24">
        <f t="shared" si="34"/>
        <v>5</v>
      </c>
      <c r="AC94" s="24">
        <f t="shared" si="35"/>
        <v>43</v>
      </c>
      <c r="AD94" s="25">
        <v>11</v>
      </c>
      <c r="AE94" s="25">
        <f t="shared" si="36"/>
        <v>495</v>
      </c>
      <c r="AF94" s="25">
        <f t="shared" si="37"/>
        <v>0</v>
      </c>
      <c r="AG94" s="25">
        <f t="shared" si="38"/>
        <v>33</v>
      </c>
      <c r="AH94" s="25">
        <f t="shared" si="39"/>
        <v>0</v>
      </c>
      <c r="AI94" s="25">
        <f t="shared" si="40"/>
        <v>242</v>
      </c>
      <c r="AJ94" s="25">
        <f t="shared" si="41"/>
        <v>0</v>
      </c>
      <c r="AK94" s="25">
        <f t="shared" si="42"/>
        <v>198</v>
      </c>
      <c r="AL94" s="25">
        <f t="shared" si="43"/>
        <v>0</v>
      </c>
      <c r="AM94" s="25">
        <f t="shared" si="44"/>
        <v>528</v>
      </c>
      <c r="AN94" s="25">
        <f t="shared" si="45"/>
        <v>0</v>
      </c>
      <c r="AO94" s="25">
        <f t="shared" si="46"/>
        <v>0</v>
      </c>
      <c r="AP94" s="25">
        <f t="shared" si="47"/>
        <v>0</v>
      </c>
      <c r="AQ94" s="25">
        <f t="shared" si="48"/>
        <v>0</v>
      </c>
      <c r="AR94" s="25">
        <f t="shared" si="49"/>
        <v>0</v>
      </c>
      <c r="AS94" s="25">
        <f t="shared" si="50"/>
        <v>55</v>
      </c>
      <c r="AT94" s="25">
        <f t="shared" si="51"/>
        <v>0</v>
      </c>
      <c r="AU94" s="25">
        <f t="shared" si="52"/>
        <v>0</v>
      </c>
      <c r="AV94" s="25">
        <f t="shared" si="53"/>
        <v>0</v>
      </c>
      <c r="AW94" s="25">
        <f t="shared" si="54"/>
        <v>0</v>
      </c>
      <c r="AX94" s="25">
        <f t="shared" si="55"/>
        <v>0</v>
      </c>
      <c r="AY94" s="25">
        <f t="shared" si="56"/>
        <v>0</v>
      </c>
      <c r="AZ94" s="25">
        <f t="shared" si="57"/>
        <v>0</v>
      </c>
      <c r="BA94" s="25">
        <f t="shared" si="58"/>
        <v>0</v>
      </c>
      <c r="BB94" s="25">
        <f t="shared" si="59"/>
        <v>0</v>
      </c>
      <c r="BC94" s="25">
        <f t="shared" si="60"/>
        <v>0</v>
      </c>
      <c r="BD94" s="25">
        <f t="shared" si="61"/>
        <v>0</v>
      </c>
      <c r="BE94" s="25">
        <f t="shared" si="62"/>
        <v>55</v>
      </c>
      <c r="BF94" s="25">
        <f t="shared" si="63"/>
        <v>473</v>
      </c>
    </row>
    <row r="95" spans="1:58" s="25" customFormat="1" ht="15" customHeight="1" x14ac:dyDescent="0.25">
      <c r="A95" s="38" t="s">
        <v>171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33"/>
        <v>72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/>
      <c r="T95" s="23"/>
      <c r="U95" s="23"/>
      <c r="V95" s="23"/>
      <c r="W95" s="23"/>
      <c r="X95" s="43"/>
      <c r="Y95" s="23"/>
      <c r="Z95" s="23"/>
      <c r="AA95" s="23"/>
      <c r="AB95" s="24">
        <f t="shared" si="34"/>
        <v>11</v>
      </c>
      <c r="AC95" s="24">
        <f t="shared" si="35"/>
        <v>61</v>
      </c>
      <c r="AD95" s="25">
        <v>13.75</v>
      </c>
      <c r="AE95" s="25">
        <f t="shared" si="36"/>
        <v>990</v>
      </c>
      <c r="AF95" s="25">
        <f t="shared" si="37"/>
        <v>0</v>
      </c>
      <c r="AG95" s="25">
        <f t="shared" si="38"/>
        <v>0</v>
      </c>
      <c r="AH95" s="25">
        <f t="shared" si="39"/>
        <v>0</v>
      </c>
      <c r="AI95" s="25">
        <f t="shared" si="40"/>
        <v>247.5</v>
      </c>
      <c r="AJ95" s="25">
        <f t="shared" si="41"/>
        <v>0</v>
      </c>
      <c r="AK95" s="25">
        <f t="shared" si="42"/>
        <v>0</v>
      </c>
      <c r="AL95" s="25">
        <f t="shared" si="43"/>
        <v>192.5</v>
      </c>
      <c r="AM95" s="25">
        <f t="shared" si="44"/>
        <v>990</v>
      </c>
      <c r="AN95" s="25">
        <f t="shared" si="45"/>
        <v>0</v>
      </c>
      <c r="AO95" s="25">
        <f t="shared" si="46"/>
        <v>27.5</v>
      </c>
      <c r="AP95" s="25">
        <f t="shared" si="47"/>
        <v>0</v>
      </c>
      <c r="AQ95" s="25">
        <f t="shared" si="48"/>
        <v>0</v>
      </c>
      <c r="AR95" s="25">
        <f t="shared" si="49"/>
        <v>0</v>
      </c>
      <c r="AS95" s="25">
        <f t="shared" si="50"/>
        <v>123.75</v>
      </c>
      <c r="AT95" s="25">
        <f t="shared" si="51"/>
        <v>0</v>
      </c>
      <c r="AU95" s="25">
        <f t="shared" si="52"/>
        <v>0</v>
      </c>
      <c r="AV95" s="25">
        <f t="shared" si="53"/>
        <v>0</v>
      </c>
      <c r="AW95" s="25">
        <f t="shared" si="54"/>
        <v>0</v>
      </c>
      <c r="AX95" s="25">
        <f t="shared" si="55"/>
        <v>0</v>
      </c>
      <c r="AY95" s="25">
        <f t="shared" si="56"/>
        <v>0</v>
      </c>
      <c r="AZ95" s="25">
        <f t="shared" si="57"/>
        <v>0</v>
      </c>
      <c r="BA95" s="25">
        <f t="shared" si="58"/>
        <v>0</v>
      </c>
      <c r="BB95" s="25">
        <f t="shared" si="59"/>
        <v>0</v>
      </c>
      <c r="BC95" s="25">
        <f t="shared" si="60"/>
        <v>0</v>
      </c>
      <c r="BD95" s="25">
        <f t="shared" si="61"/>
        <v>0</v>
      </c>
      <c r="BE95" s="25">
        <f t="shared" si="62"/>
        <v>151.25</v>
      </c>
      <c r="BF95" s="25">
        <f t="shared" si="63"/>
        <v>838.75</v>
      </c>
    </row>
    <row r="96" spans="1:58" s="25" customFormat="1" ht="15" customHeight="1" x14ac:dyDescent="0.25">
      <c r="A96" s="38" t="s">
        <v>172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33"/>
        <v>1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43"/>
      <c r="Y96" s="23"/>
      <c r="Z96" s="23"/>
      <c r="AA96" s="23"/>
      <c r="AB96" s="24">
        <f t="shared" si="34"/>
        <v>0</v>
      </c>
      <c r="AC96" s="24">
        <f t="shared" si="35"/>
        <v>1</v>
      </c>
      <c r="AD96" s="25">
        <v>16.5</v>
      </c>
      <c r="AE96" s="25">
        <f t="shared" si="36"/>
        <v>16.5</v>
      </c>
      <c r="AF96" s="25">
        <f t="shared" si="37"/>
        <v>0</v>
      </c>
      <c r="AG96" s="25">
        <f t="shared" si="38"/>
        <v>0</v>
      </c>
      <c r="AH96" s="25">
        <f t="shared" si="39"/>
        <v>0</v>
      </c>
      <c r="AI96" s="25">
        <f t="shared" si="40"/>
        <v>115.5</v>
      </c>
      <c r="AJ96" s="25">
        <f t="shared" si="41"/>
        <v>0</v>
      </c>
      <c r="AK96" s="25">
        <f t="shared" si="42"/>
        <v>0</v>
      </c>
      <c r="AL96" s="25">
        <f t="shared" si="43"/>
        <v>0</v>
      </c>
      <c r="AM96" s="25">
        <f t="shared" si="44"/>
        <v>16.5</v>
      </c>
      <c r="AN96" s="25">
        <f t="shared" si="45"/>
        <v>0</v>
      </c>
      <c r="AO96" s="25">
        <f t="shared" si="46"/>
        <v>0</v>
      </c>
      <c r="AP96" s="25">
        <f t="shared" si="47"/>
        <v>0</v>
      </c>
      <c r="AQ96" s="25">
        <f t="shared" si="48"/>
        <v>0</v>
      </c>
      <c r="AR96" s="25">
        <f t="shared" si="49"/>
        <v>0</v>
      </c>
      <c r="AS96" s="25">
        <f t="shared" si="50"/>
        <v>0</v>
      </c>
      <c r="AT96" s="25">
        <f t="shared" si="51"/>
        <v>0</v>
      </c>
      <c r="AU96" s="25">
        <f t="shared" si="52"/>
        <v>0</v>
      </c>
      <c r="AV96" s="25">
        <f t="shared" si="53"/>
        <v>0</v>
      </c>
      <c r="AW96" s="25">
        <f t="shared" si="54"/>
        <v>0</v>
      </c>
      <c r="AX96" s="25">
        <f t="shared" si="55"/>
        <v>0</v>
      </c>
      <c r="AY96" s="25">
        <f t="shared" si="56"/>
        <v>0</v>
      </c>
      <c r="AZ96" s="25">
        <f t="shared" si="57"/>
        <v>0</v>
      </c>
      <c r="BA96" s="25">
        <f t="shared" si="58"/>
        <v>0</v>
      </c>
      <c r="BB96" s="25">
        <f t="shared" si="59"/>
        <v>0</v>
      </c>
      <c r="BC96" s="25">
        <f t="shared" si="60"/>
        <v>0</v>
      </c>
      <c r="BD96" s="25">
        <f t="shared" si="61"/>
        <v>0</v>
      </c>
      <c r="BE96" s="25">
        <f t="shared" si="62"/>
        <v>0</v>
      </c>
      <c r="BF96" s="25">
        <f t="shared" si="63"/>
        <v>16.5</v>
      </c>
    </row>
    <row r="97" spans="1:58" s="25" customFormat="1" ht="15" customHeight="1" x14ac:dyDescent="0.25">
      <c r="A97" s="38" t="s">
        <v>173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>
        <f t="shared" si="33"/>
        <v>50</v>
      </c>
      <c r="K97" s="21"/>
      <c r="L97" s="23"/>
      <c r="M97" s="23"/>
      <c r="N97" s="43"/>
      <c r="O97" s="43"/>
      <c r="P97" s="23">
        <v>1</v>
      </c>
      <c r="Q97" s="23"/>
      <c r="R97" s="23"/>
      <c r="S97" s="23">
        <v>29</v>
      </c>
      <c r="T97" s="23"/>
      <c r="U97" s="23"/>
      <c r="V97" s="23"/>
      <c r="W97" s="23"/>
      <c r="X97" s="43"/>
      <c r="Y97" s="23">
        <v>20</v>
      </c>
      <c r="Z97" s="23"/>
      <c r="AA97" s="23"/>
      <c r="AB97" s="24">
        <f t="shared" si="34"/>
        <v>1</v>
      </c>
      <c r="AC97" s="24">
        <f t="shared" si="35"/>
        <v>49</v>
      </c>
      <c r="AD97" s="25">
        <v>29.25</v>
      </c>
      <c r="AE97" s="25">
        <f t="shared" si="36"/>
        <v>965.25</v>
      </c>
      <c r="AF97" s="25">
        <f t="shared" si="37"/>
        <v>0</v>
      </c>
      <c r="AG97" s="25">
        <f t="shared" si="38"/>
        <v>0</v>
      </c>
      <c r="AH97" s="25">
        <f t="shared" si="39"/>
        <v>497.25</v>
      </c>
      <c r="AI97" s="25">
        <f t="shared" si="40"/>
        <v>0</v>
      </c>
      <c r="AJ97" s="25">
        <f t="shared" si="41"/>
        <v>0</v>
      </c>
      <c r="AK97" s="25">
        <f t="shared" si="42"/>
        <v>0</v>
      </c>
      <c r="AL97" s="25">
        <f t="shared" si="43"/>
        <v>0</v>
      </c>
      <c r="AM97" s="25">
        <f t="shared" si="44"/>
        <v>1462.5</v>
      </c>
      <c r="AN97" s="25">
        <f t="shared" si="45"/>
        <v>0</v>
      </c>
      <c r="AO97" s="25">
        <f t="shared" si="46"/>
        <v>0</v>
      </c>
      <c r="AP97" s="25">
        <f t="shared" si="47"/>
        <v>0</v>
      </c>
      <c r="AQ97" s="25">
        <f t="shared" si="48"/>
        <v>0</v>
      </c>
      <c r="AR97" s="25">
        <f t="shared" si="49"/>
        <v>0</v>
      </c>
      <c r="AS97" s="25">
        <f t="shared" si="50"/>
        <v>29.25</v>
      </c>
      <c r="AT97" s="25">
        <f t="shared" si="51"/>
        <v>0</v>
      </c>
      <c r="AU97" s="25">
        <f t="shared" si="52"/>
        <v>0</v>
      </c>
      <c r="AV97" s="25">
        <f t="shared" si="53"/>
        <v>848.25</v>
      </c>
      <c r="AW97" s="25">
        <f t="shared" si="54"/>
        <v>0</v>
      </c>
      <c r="AX97" s="25">
        <f t="shared" si="55"/>
        <v>0</v>
      </c>
      <c r="AY97" s="25">
        <f t="shared" si="56"/>
        <v>0</v>
      </c>
      <c r="AZ97" s="25">
        <f t="shared" si="57"/>
        <v>0</v>
      </c>
      <c r="BA97" s="25">
        <f t="shared" si="58"/>
        <v>0</v>
      </c>
      <c r="BB97" s="25">
        <f t="shared" si="59"/>
        <v>585</v>
      </c>
      <c r="BC97" s="25">
        <f t="shared" si="60"/>
        <v>0</v>
      </c>
      <c r="BD97" s="25">
        <f t="shared" si="61"/>
        <v>0</v>
      </c>
      <c r="BE97" s="25">
        <f t="shared" si="62"/>
        <v>29.25</v>
      </c>
      <c r="BF97" s="25">
        <f t="shared" si="63"/>
        <v>1433.25</v>
      </c>
    </row>
    <row r="98" spans="1:58" s="25" customFormat="1" ht="15" customHeight="1" x14ac:dyDescent="0.25">
      <c r="A98" s="38" t="s">
        <v>174</v>
      </c>
      <c r="B98" s="38">
        <v>32</v>
      </c>
      <c r="C98" s="27"/>
      <c r="D98" s="27"/>
      <c r="E98" s="20">
        <v>5</v>
      </c>
      <c r="F98" s="20"/>
      <c r="G98" s="20"/>
      <c r="H98" s="20">
        <v>12</v>
      </c>
      <c r="I98" s="20"/>
      <c r="J98" s="20">
        <f t="shared" si="33"/>
        <v>37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43"/>
      <c r="Y98" s="23"/>
      <c r="Z98" s="23"/>
      <c r="AA98" s="23"/>
      <c r="AB98" s="24">
        <f t="shared" si="34"/>
        <v>0</v>
      </c>
      <c r="AC98" s="24">
        <f t="shared" si="35"/>
        <v>37</v>
      </c>
      <c r="AD98" s="25">
        <v>9.75</v>
      </c>
      <c r="AE98" s="25">
        <f t="shared" si="36"/>
        <v>312</v>
      </c>
      <c r="AF98" s="25">
        <f t="shared" si="37"/>
        <v>0</v>
      </c>
      <c r="AG98" s="25">
        <f t="shared" si="38"/>
        <v>0</v>
      </c>
      <c r="AH98" s="25">
        <f t="shared" si="39"/>
        <v>48.75</v>
      </c>
      <c r="AI98" s="25">
        <f t="shared" si="40"/>
        <v>0</v>
      </c>
      <c r="AJ98" s="25">
        <f t="shared" si="41"/>
        <v>0</v>
      </c>
      <c r="AK98" s="25">
        <f t="shared" si="42"/>
        <v>117</v>
      </c>
      <c r="AL98" s="25">
        <f t="shared" si="43"/>
        <v>0</v>
      </c>
      <c r="AM98" s="25">
        <f t="shared" si="44"/>
        <v>360.75</v>
      </c>
      <c r="AN98" s="25">
        <f t="shared" si="45"/>
        <v>0</v>
      </c>
      <c r="AO98" s="25">
        <f t="shared" si="46"/>
        <v>0</v>
      </c>
      <c r="AP98" s="25">
        <f t="shared" si="47"/>
        <v>0</v>
      </c>
      <c r="AQ98" s="25">
        <f t="shared" si="48"/>
        <v>0</v>
      </c>
      <c r="AR98" s="25">
        <f t="shared" si="49"/>
        <v>0</v>
      </c>
      <c r="AS98" s="25">
        <f t="shared" si="50"/>
        <v>0</v>
      </c>
      <c r="AT98" s="25">
        <f t="shared" si="51"/>
        <v>0</v>
      </c>
      <c r="AU98" s="25">
        <f t="shared" si="52"/>
        <v>0</v>
      </c>
      <c r="AV98" s="25">
        <f t="shared" si="53"/>
        <v>0</v>
      </c>
      <c r="AW98" s="25">
        <f t="shared" si="54"/>
        <v>0</v>
      </c>
      <c r="AX98" s="25">
        <f t="shared" si="55"/>
        <v>0</v>
      </c>
      <c r="AY98" s="25">
        <f t="shared" si="56"/>
        <v>0</v>
      </c>
      <c r="AZ98" s="25">
        <f t="shared" si="57"/>
        <v>0</v>
      </c>
      <c r="BA98" s="25">
        <f t="shared" si="58"/>
        <v>0</v>
      </c>
      <c r="BB98" s="25">
        <f t="shared" si="59"/>
        <v>0</v>
      </c>
      <c r="BC98" s="25">
        <f t="shared" si="60"/>
        <v>0</v>
      </c>
      <c r="BD98" s="25">
        <f t="shared" si="61"/>
        <v>0</v>
      </c>
      <c r="BE98" s="25">
        <f t="shared" si="62"/>
        <v>0</v>
      </c>
      <c r="BF98" s="25">
        <f t="shared" si="63"/>
        <v>360.75</v>
      </c>
    </row>
    <row r="99" spans="1:58" s="25" customFormat="1" ht="15" customHeight="1" x14ac:dyDescent="0.25">
      <c r="A99" s="38" t="s">
        <v>175</v>
      </c>
      <c r="B99" s="38">
        <v>4</v>
      </c>
      <c r="C99" s="27"/>
      <c r="D99" s="27"/>
      <c r="E99" s="20">
        <v>1</v>
      </c>
      <c r="F99" s="20">
        <v>10</v>
      </c>
      <c r="G99" s="20"/>
      <c r="H99" s="20">
        <v>1</v>
      </c>
      <c r="I99" s="20">
        <v>1</v>
      </c>
      <c r="J99" s="20">
        <f t="shared" si="33"/>
        <v>5</v>
      </c>
      <c r="K99" s="21"/>
      <c r="L99" s="23"/>
      <c r="M99" s="23"/>
      <c r="N99" s="43"/>
      <c r="O99" s="43"/>
      <c r="P99" s="23"/>
      <c r="Q99" s="23"/>
      <c r="R99" s="23"/>
      <c r="S99" s="23">
        <v>16</v>
      </c>
      <c r="T99" s="23"/>
      <c r="U99" s="23"/>
      <c r="V99" s="23"/>
      <c r="W99" s="23">
        <v>2</v>
      </c>
      <c r="X99" s="43"/>
      <c r="Y99" s="23"/>
      <c r="Z99" s="23"/>
      <c r="AA99" s="23">
        <v>0</v>
      </c>
      <c r="AB99" s="24">
        <f t="shared" si="34"/>
        <v>0</v>
      </c>
      <c r="AC99" s="24">
        <f t="shared" si="35"/>
        <v>5</v>
      </c>
      <c r="AD99" s="25">
        <v>7.5</v>
      </c>
      <c r="AE99" s="25">
        <f t="shared" si="36"/>
        <v>30</v>
      </c>
      <c r="AF99" s="25">
        <f t="shared" si="37"/>
        <v>0</v>
      </c>
      <c r="AG99" s="25">
        <f t="shared" si="38"/>
        <v>0</v>
      </c>
      <c r="AH99" s="25">
        <f t="shared" si="39"/>
        <v>7.5</v>
      </c>
      <c r="AI99" s="25">
        <f t="shared" si="40"/>
        <v>75</v>
      </c>
      <c r="AJ99" s="25">
        <f t="shared" si="41"/>
        <v>0</v>
      </c>
      <c r="AK99" s="25">
        <f t="shared" si="42"/>
        <v>7.5</v>
      </c>
      <c r="AL99" s="25">
        <f t="shared" si="43"/>
        <v>7.5</v>
      </c>
      <c r="AM99" s="25">
        <f t="shared" si="44"/>
        <v>37.5</v>
      </c>
      <c r="AN99" s="25">
        <f t="shared" si="45"/>
        <v>0</v>
      </c>
      <c r="AO99" s="25">
        <f t="shared" si="46"/>
        <v>0</v>
      </c>
      <c r="AP99" s="25">
        <f t="shared" si="47"/>
        <v>0</v>
      </c>
      <c r="AQ99" s="25">
        <f t="shared" si="48"/>
        <v>0</v>
      </c>
      <c r="AR99" s="25">
        <f t="shared" si="49"/>
        <v>0</v>
      </c>
      <c r="AS99" s="25">
        <f t="shared" si="50"/>
        <v>0</v>
      </c>
      <c r="AT99" s="25">
        <f t="shared" si="51"/>
        <v>0</v>
      </c>
      <c r="AU99" s="25">
        <f t="shared" si="52"/>
        <v>0</v>
      </c>
      <c r="AV99" s="25">
        <f t="shared" si="53"/>
        <v>120</v>
      </c>
      <c r="AW99" s="25">
        <f t="shared" si="54"/>
        <v>0</v>
      </c>
      <c r="AX99" s="25">
        <f t="shared" si="55"/>
        <v>0</v>
      </c>
      <c r="AY99" s="25">
        <f t="shared" si="56"/>
        <v>0</v>
      </c>
      <c r="AZ99" s="25">
        <f t="shared" si="57"/>
        <v>15</v>
      </c>
      <c r="BA99" s="25">
        <f t="shared" si="58"/>
        <v>0</v>
      </c>
      <c r="BB99" s="25">
        <f t="shared" si="59"/>
        <v>0</v>
      </c>
      <c r="BC99" s="25">
        <f t="shared" si="60"/>
        <v>0</v>
      </c>
      <c r="BD99" s="25">
        <f t="shared" si="61"/>
        <v>0</v>
      </c>
      <c r="BE99" s="25">
        <f t="shared" si="62"/>
        <v>0</v>
      </c>
      <c r="BF99" s="25">
        <f t="shared" si="63"/>
        <v>37.5</v>
      </c>
    </row>
    <row r="100" spans="1:58" s="25" customFormat="1" ht="15" customHeight="1" x14ac:dyDescent="0.25">
      <c r="A100" s="38" t="s">
        <v>176</v>
      </c>
      <c r="B100" s="38">
        <v>19</v>
      </c>
      <c r="C100" s="27"/>
      <c r="D100" s="27"/>
      <c r="E100" s="20">
        <v>1</v>
      </c>
      <c r="F100" s="20">
        <v>5</v>
      </c>
      <c r="G100" s="20"/>
      <c r="H100" s="20"/>
      <c r="I100" s="20">
        <v>8</v>
      </c>
      <c r="J100" s="20">
        <f>B100+D100+E100</f>
        <v>20</v>
      </c>
      <c r="K100" s="21"/>
      <c r="L100" s="23"/>
      <c r="M100" s="23"/>
      <c r="N100" s="43"/>
      <c r="O100" s="43"/>
      <c r="P100" s="23"/>
      <c r="Q100" s="23"/>
      <c r="R100" s="23"/>
      <c r="S100" s="23">
        <v>2</v>
      </c>
      <c r="T100" s="23"/>
      <c r="U100" s="23"/>
      <c r="V100" s="23"/>
      <c r="W100" s="23">
        <v>5</v>
      </c>
      <c r="X100" s="43"/>
      <c r="Y100" s="23"/>
      <c r="Z100" s="23"/>
      <c r="AA100" s="23"/>
      <c r="AB100" s="24">
        <f t="shared" si="34"/>
        <v>0</v>
      </c>
      <c r="AC100" s="24">
        <f t="shared" si="35"/>
        <v>20</v>
      </c>
      <c r="AD100" s="25">
        <v>10</v>
      </c>
      <c r="AE100" s="25">
        <f t="shared" si="36"/>
        <v>190</v>
      </c>
      <c r="AF100" s="25">
        <f t="shared" si="37"/>
        <v>0</v>
      </c>
      <c r="AG100" s="25">
        <f t="shared" si="38"/>
        <v>0</v>
      </c>
      <c r="AH100" s="25">
        <f t="shared" si="39"/>
        <v>10</v>
      </c>
      <c r="AI100" s="25">
        <f t="shared" si="40"/>
        <v>50</v>
      </c>
      <c r="AJ100" s="25">
        <f t="shared" si="41"/>
        <v>0</v>
      </c>
      <c r="AK100" s="25">
        <f t="shared" si="42"/>
        <v>0</v>
      </c>
      <c r="AL100" s="25">
        <f t="shared" si="43"/>
        <v>80</v>
      </c>
      <c r="AM100" s="25">
        <f t="shared" si="44"/>
        <v>200</v>
      </c>
      <c r="AN100" s="25">
        <f t="shared" si="45"/>
        <v>0</v>
      </c>
      <c r="AO100" s="25">
        <f t="shared" si="46"/>
        <v>0</v>
      </c>
      <c r="AP100" s="25">
        <f t="shared" si="47"/>
        <v>0</v>
      </c>
      <c r="AQ100" s="25">
        <f t="shared" si="48"/>
        <v>0</v>
      </c>
      <c r="AR100" s="25">
        <f t="shared" si="49"/>
        <v>0</v>
      </c>
      <c r="AS100" s="25">
        <f t="shared" si="50"/>
        <v>0</v>
      </c>
      <c r="AT100" s="25">
        <f t="shared" si="51"/>
        <v>0</v>
      </c>
      <c r="AU100" s="25">
        <f t="shared" si="52"/>
        <v>0</v>
      </c>
      <c r="AV100" s="25">
        <f t="shared" si="53"/>
        <v>20</v>
      </c>
      <c r="AW100" s="25">
        <f t="shared" si="54"/>
        <v>0</v>
      </c>
      <c r="AX100" s="25">
        <f t="shared" si="55"/>
        <v>0</v>
      </c>
      <c r="AY100" s="25">
        <f t="shared" si="56"/>
        <v>0</v>
      </c>
      <c r="AZ100" s="25">
        <f t="shared" si="57"/>
        <v>50</v>
      </c>
      <c r="BA100" s="25">
        <f t="shared" si="58"/>
        <v>0</v>
      </c>
      <c r="BB100" s="25">
        <f t="shared" si="59"/>
        <v>0</v>
      </c>
      <c r="BC100" s="25">
        <f t="shared" si="60"/>
        <v>0</v>
      </c>
      <c r="BD100" s="25">
        <f t="shared" si="61"/>
        <v>0</v>
      </c>
      <c r="BE100" s="25">
        <f t="shared" si="62"/>
        <v>0</v>
      </c>
      <c r="BF100" s="25">
        <f t="shared" si="63"/>
        <v>200</v>
      </c>
    </row>
    <row r="101" spans="1:58" s="25" customFormat="1" ht="15" customHeight="1" x14ac:dyDescent="0.25">
      <c r="A101" s="38" t="s">
        <v>177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33"/>
        <v>0</v>
      </c>
      <c r="K101" s="21"/>
      <c r="L101" s="23"/>
      <c r="M101" s="23"/>
      <c r="N101" s="43"/>
      <c r="O101" s="43"/>
      <c r="P101" s="23"/>
      <c r="Q101" s="23"/>
      <c r="R101" s="23"/>
      <c r="S101" s="23">
        <v>2</v>
      </c>
      <c r="T101" s="23">
        <v>4</v>
      </c>
      <c r="U101" s="23"/>
      <c r="V101" s="23"/>
      <c r="W101" s="23"/>
      <c r="X101" s="43"/>
      <c r="Y101" s="23"/>
      <c r="Z101" s="23"/>
      <c r="AA101" s="23">
        <v>0</v>
      </c>
      <c r="AB101" s="24">
        <f t="shared" si="34"/>
        <v>0</v>
      </c>
      <c r="AC101" s="24">
        <f t="shared" si="35"/>
        <v>0</v>
      </c>
      <c r="AD101" s="25">
        <v>12.25</v>
      </c>
      <c r="AE101" s="25">
        <f t="shared" si="36"/>
        <v>0</v>
      </c>
      <c r="AF101" s="25">
        <f t="shared" si="37"/>
        <v>0</v>
      </c>
      <c r="AG101" s="25">
        <f t="shared" si="38"/>
        <v>0</v>
      </c>
      <c r="AH101" s="25">
        <f t="shared" si="39"/>
        <v>0</v>
      </c>
      <c r="AI101" s="25">
        <f t="shared" si="40"/>
        <v>0</v>
      </c>
      <c r="AJ101" s="25">
        <f t="shared" si="41"/>
        <v>0</v>
      </c>
      <c r="AK101" s="25">
        <f t="shared" si="42"/>
        <v>12.25</v>
      </c>
      <c r="AL101" s="25">
        <f t="shared" si="43"/>
        <v>49</v>
      </c>
      <c r="AM101" s="25">
        <f t="shared" si="44"/>
        <v>0</v>
      </c>
      <c r="AN101" s="25">
        <f t="shared" si="45"/>
        <v>0</v>
      </c>
      <c r="AO101" s="25">
        <f t="shared" si="46"/>
        <v>0</v>
      </c>
      <c r="AP101" s="25">
        <f t="shared" si="47"/>
        <v>0</v>
      </c>
      <c r="AQ101" s="25">
        <f t="shared" si="48"/>
        <v>0</v>
      </c>
      <c r="AR101" s="25">
        <f t="shared" si="49"/>
        <v>0</v>
      </c>
      <c r="AS101" s="25">
        <f t="shared" si="50"/>
        <v>0</v>
      </c>
      <c r="AT101" s="25">
        <f t="shared" si="51"/>
        <v>0</v>
      </c>
      <c r="AU101" s="25">
        <f t="shared" si="52"/>
        <v>0</v>
      </c>
      <c r="AV101" s="25">
        <f t="shared" si="53"/>
        <v>24.5</v>
      </c>
      <c r="AW101" s="25">
        <f t="shared" si="54"/>
        <v>49</v>
      </c>
      <c r="AX101" s="25">
        <f t="shared" si="55"/>
        <v>0</v>
      </c>
      <c r="AY101" s="25">
        <f t="shared" si="56"/>
        <v>0</v>
      </c>
      <c r="AZ101" s="25">
        <f t="shared" si="57"/>
        <v>0</v>
      </c>
      <c r="BA101" s="25">
        <f t="shared" si="58"/>
        <v>0</v>
      </c>
      <c r="BB101" s="25">
        <f t="shared" si="59"/>
        <v>0</v>
      </c>
      <c r="BC101" s="25">
        <f t="shared" si="60"/>
        <v>0</v>
      </c>
      <c r="BD101" s="25">
        <f t="shared" si="61"/>
        <v>0</v>
      </c>
      <c r="BE101" s="25">
        <f t="shared" si="62"/>
        <v>0</v>
      </c>
      <c r="BF101" s="25">
        <f t="shared" si="63"/>
        <v>0</v>
      </c>
    </row>
    <row r="102" spans="1:58" s="25" customFormat="1" ht="15" customHeight="1" x14ac:dyDescent="0.25">
      <c r="A102" s="38" t="s">
        <v>178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33"/>
        <v>0</v>
      </c>
      <c r="K102" s="21"/>
      <c r="L102" s="23"/>
      <c r="M102" s="23"/>
      <c r="N102" s="43"/>
      <c r="O102" s="43"/>
      <c r="P102" s="23"/>
      <c r="Q102" s="23"/>
      <c r="R102" s="23"/>
      <c r="S102" s="23"/>
      <c r="T102" s="23"/>
      <c r="U102" s="23"/>
      <c r="V102" s="23"/>
      <c r="W102" s="23"/>
      <c r="X102" s="43"/>
      <c r="Y102" s="23"/>
      <c r="Z102" s="23"/>
      <c r="AA102" s="23"/>
      <c r="AB102" s="24">
        <f t="shared" si="34"/>
        <v>0</v>
      </c>
      <c r="AC102" s="24">
        <f t="shared" si="35"/>
        <v>0</v>
      </c>
      <c r="AD102" s="25">
        <v>12.25</v>
      </c>
      <c r="AE102" s="25">
        <f t="shared" si="36"/>
        <v>0</v>
      </c>
      <c r="AF102" s="25">
        <f t="shared" si="37"/>
        <v>0</v>
      </c>
      <c r="AG102" s="25">
        <f t="shared" si="38"/>
        <v>0</v>
      </c>
      <c r="AH102" s="25">
        <f t="shared" si="39"/>
        <v>0</v>
      </c>
      <c r="AI102" s="25">
        <f t="shared" si="40"/>
        <v>12.25</v>
      </c>
      <c r="AJ102" s="25">
        <f t="shared" si="41"/>
        <v>0</v>
      </c>
      <c r="AK102" s="25">
        <f t="shared" si="42"/>
        <v>0</v>
      </c>
      <c r="AL102" s="25">
        <f t="shared" si="43"/>
        <v>0</v>
      </c>
      <c r="AM102" s="25">
        <f t="shared" si="44"/>
        <v>0</v>
      </c>
      <c r="AN102" s="25">
        <f t="shared" si="45"/>
        <v>0</v>
      </c>
      <c r="AO102" s="25">
        <f t="shared" si="46"/>
        <v>0</v>
      </c>
      <c r="AP102" s="25">
        <f t="shared" si="47"/>
        <v>0</v>
      </c>
      <c r="AQ102" s="25">
        <f t="shared" si="48"/>
        <v>0</v>
      </c>
      <c r="AR102" s="25">
        <f t="shared" si="49"/>
        <v>0</v>
      </c>
      <c r="AS102" s="25">
        <f t="shared" si="50"/>
        <v>0</v>
      </c>
      <c r="AT102" s="25">
        <f t="shared" si="51"/>
        <v>0</v>
      </c>
      <c r="AU102" s="25">
        <f t="shared" si="52"/>
        <v>0</v>
      </c>
      <c r="AV102" s="25">
        <f t="shared" si="53"/>
        <v>0</v>
      </c>
      <c r="AW102" s="25">
        <f t="shared" si="54"/>
        <v>0</v>
      </c>
      <c r="AX102" s="25">
        <f t="shared" si="55"/>
        <v>0</v>
      </c>
      <c r="AY102" s="25">
        <f t="shared" si="56"/>
        <v>0</v>
      </c>
      <c r="AZ102" s="25">
        <f t="shared" si="57"/>
        <v>0</v>
      </c>
      <c r="BA102" s="25">
        <f t="shared" si="58"/>
        <v>0</v>
      </c>
      <c r="BB102" s="25">
        <f t="shared" si="59"/>
        <v>0</v>
      </c>
      <c r="BC102" s="25">
        <f t="shared" si="60"/>
        <v>0</v>
      </c>
      <c r="BD102" s="25">
        <f t="shared" si="61"/>
        <v>0</v>
      </c>
      <c r="BE102" s="25">
        <f t="shared" si="62"/>
        <v>0</v>
      </c>
      <c r="BF102" s="25">
        <f t="shared" si="63"/>
        <v>0</v>
      </c>
    </row>
    <row r="103" spans="1:58" s="25" customFormat="1" ht="15" customHeight="1" x14ac:dyDescent="0.25">
      <c r="A103" s="38" t="s">
        <v>179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33"/>
        <v>1</v>
      </c>
      <c r="K103" s="21"/>
      <c r="L103" s="23"/>
      <c r="M103" s="23"/>
      <c r="N103" s="43"/>
      <c r="O103" s="43"/>
      <c r="P103" s="23"/>
      <c r="Q103" s="23"/>
      <c r="R103" s="23"/>
      <c r="S103" s="23"/>
      <c r="T103" s="23"/>
      <c r="U103" s="23"/>
      <c r="V103" s="23"/>
      <c r="W103" s="23">
        <v>4</v>
      </c>
      <c r="X103" s="43">
        <v>1</v>
      </c>
      <c r="Y103" s="23">
        <v>13</v>
      </c>
      <c r="Z103" s="23"/>
      <c r="AA103" s="23">
        <v>0</v>
      </c>
      <c r="AB103" s="24">
        <f t="shared" si="34"/>
        <v>0</v>
      </c>
      <c r="AC103" s="24">
        <f t="shared" si="35"/>
        <v>1</v>
      </c>
      <c r="AD103" s="25">
        <v>13.5</v>
      </c>
      <c r="AE103" s="25">
        <f t="shared" si="36"/>
        <v>13.5</v>
      </c>
      <c r="AF103" s="25">
        <f t="shared" si="37"/>
        <v>0</v>
      </c>
      <c r="AG103" s="25">
        <f t="shared" si="38"/>
        <v>0</v>
      </c>
      <c r="AH103" s="25">
        <f t="shared" si="39"/>
        <v>0</v>
      </c>
      <c r="AI103" s="25">
        <f t="shared" si="40"/>
        <v>67.5</v>
      </c>
      <c r="AJ103" s="25">
        <f t="shared" si="41"/>
        <v>0</v>
      </c>
      <c r="AK103" s="25">
        <f t="shared" si="42"/>
        <v>0</v>
      </c>
      <c r="AL103" s="25">
        <f t="shared" si="43"/>
        <v>54</v>
      </c>
      <c r="AM103" s="25">
        <f t="shared" si="44"/>
        <v>13.5</v>
      </c>
      <c r="AN103" s="25">
        <f t="shared" si="45"/>
        <v>0</v>
      </c>
      <c r="AO103" s="25">
        <f t="shared" si="46"/>
        <v>0</v>
      </c>
      <c r="AP103" s="25">
        <f t="shared" si="47"/>
        <v>0</v>
      </c>
      <c r="AQ103" s="25">
        <f t="shared" si="48"/>
        <v>0</v>
      </c>
      <c r="AR103" s="25">
        <f t="shared" si="49"/>
        <v>0</v>
      </c>
      <c r="AS103" s="25">
        <f t="shared" si="50"/>
        <v>0</v>
      </c>
      <c r="AT103" s="25">
        <f t="shared" si="51"/>
        <v>0</v>
      </c>
      <c r="AU103" s="25">
        <f t="shared" si="52"/>
        <v>0</v>
      </c>
      <c r="AV103" s="25">
        <f t="shared" si="53"/>
        <v>0</v>
      </c>
      <c r="AW103" s="25">
        <f t="shared" si="54"/>
        <v>0</v>
      </c>
      <c r="AX103" s="25">
        <f t="shared" si="55"/>
        <v>0</v>
      </c>
      <c r="AY103" s="25">
        <f t="shared" si="56"/>
        <v>0</v>
      </c>
      <c r="AZ103" s="25">
        <f t="shared" si="57"/>
        <v>54</v>
      </c>
      <c r="BA103" s="25">
        <f t="shared" si="58"/>
        <v>13.5</v>
      </c>
      <c r="BB103" s="25">
        <f t="shared" si="59"/>
        <v>175.5</v>
      </c>
      <c r="BC103" s="25">
        <f t="shared" si="60"/>
        <v>0</v>
      </c>
      <c r="BD103" s="25">
        <f t="shared" si="61"/>
        <v>0</v>
      </c>
      <c r="BE103" s="25">
        <f t="shared" si="62"/>
        <v>0</v>
      </c>
      <c r="BF103" s="25">
        <f t="shared" si="63"/>
        <v>13.5</v>
      </c>
    </row>
    <row r="104" spans="1:58" s="25" customFormat="1" ht="15" customHeight="1" x14ac:dyDescent="0.25">
      <c r="A104" s="38" t="s">
        <v>180</v>
      </c>
      <c r="B104" s="38">
        <v>0</v>
      </c>
      <c r="C104" s="27"/>
      <c r="D104" s="27"/>
      <c r="E104" s="20">
        <v>7</v>
      </c>
      <c r="F104" s="20">
        <v>4</v>
      </c>
      <c r="G104" s="20"/>
      <c r="H104" s="20">
        <v>6</v>
      </c>
      <c r="I104" s="20">
        <v>2</v>
      </c>
      <c r="J104" s="20">
        <f t="shared" si="33"/>
        <v>7</v>
      </c>
      <c r="K104" s="21"/>
      <c r="L104" s="23"/>
      <c r="M104" s="23"/>
      <c r="N104" s="43"/>
      <c r="O104" s="43"/>
      <c r="P104" s="23"/>
      <c r="Q104" s="23"/>
      <c r="R104" s="23"/>
      <c r="S104" s="23">
        <v>10</v>
      </c>
      <c r="T104" s="23">
        <v>4</v>
      </c>
      <c r="U104" s="23"/>
      <c r="V104" s="23">
        <v>2</v>
      </c>
      <c r="W104" s="23">
        <v>5</v>
      </c>
      <c r="X104" s="43"/>
      <c r="Y104" s="23"/>
      <c r="Z104" s="23"/>
      <c r="AA104" s="23">
        <v>0</v>
      </c>
      <c r="AB104" s="24">
        <f t="shared" si="34"/>
        <v>0</v>
      </c>
      <c r="AC104" s="24">
        <f t="shared" si="35"/>
        <v>7</v>
      </c>
      <c r="AD104" s="25">
        <v>16.5</v>
      </c>
      <c r="AE104" s="25">
        <f t="shared" si="36"/>
        <v>0</v>
      </c>
      <c r="AF104" s="25">
        <f t="shared" si="37"/>
        <v>0</v>
      </c>
      <c r="AG104" s="25">
        <f t="shared" si="38"/>
        <v>0</v>
      </c>
      <c r="AH104" s="25">
        <f t="shared" si="39"/>
        <v>115.5</v>
      </c>
      <c r="AI104" s="25">
        <f t="shared" si="40"/>
        <v>66</v>
      </c>
      <c r="AJ104" s="25">
        <f t="shared" si="41"/>
        <v>0</v>
      </c>
      <c r="AK104" s="25">
        <f t="shared" si="42"/>
        <v>99</v>
      </c>
      <c r="AL104" s="25">
        <f t="shared" si="43"/>
        <v>33</v>
      </c>
      <c r="AM104" s="25">
        <f t="shared" si="44"/>
        <v>115.5</v>
      </c>
      <c r="AN104" s="25">
        <f t="shared" si="45"/>
        <v>0</v>
      </c>
      <c r="AO104" s="25">
        <f t="shared" si="46"/>
        <v>0</v>
      </c>
      <c r="AP104" s="25">
        <f t="shared" si="47"/>
        <v>0</v>
      </c>
      <c r="AQ104" s="25">
        <f t="shared" si="48"/>
        <v>0</v>
      </c>
      <c r="AR104" s="25">
        <f t="shared" si="49"/>
        <v>0</v>
      </c>
      <c r="AS104" s="25">
        <f t="shared" si="50"/>
        <v>0</v>
      </c>
      <c r="AT104" s="25">
        <f t="shared" si="51"/>
        <v>0</v>
      </c>
      <c r="AU104" s="25">
        <f t="shared" si="52"/>
        <v>0</v>
      </c>
      <c r="AV104" s="25">
        <f t="shared" si="53"/>
        <v>165</v>
      </c>
      <c r="AW104" s="25">
        <f t="shared" si="54"/>
        <v>66</v>
      </c>
      <c r="AX104" s="25">
        <f t="shared" si="55"/>
        <v>0</v>
      </c>
      <c r="AY104" s="25">
        <f t="shared" si="56"/>
        <v>33</v>
      </c>
      <c r="AZ104" s="25">
        <f t="shared" si="57"/>
        <v>82.5</v>
      </c>
      <c r="BA104" s="25">
        <f t="shared" si="58"/>
        <v>0</v>
      </c>
      <c r="BB104" s="25">
        <f t="shared" si="59"/>
        <v>0</v>
      </c>
      <c r="BC104" s="25">
        <f t="shared" si="60"/>
        <v>0</v>
      </c>
      <c r="BD104" s="25">
        <f t="shared" si="61"/>
        <v>0</v>
      </c>
      <c r="BE104" s="25">
        <f t="shared" si="62"/>
        <v>0</v>
      </c>
      <c r="BF104" s="25">
        <f t="shared" si="63"/>
        <v>115.5</v>
      </c>
    </row>
    <row r="105" spans="1:58" s="25" customFormat="1" ht="15" customHeight="1" x14ac:dyDescent="0.25">
      <c r="A105" s="38" t="s">
        <v>181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33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43"/>
      <c r="Y105" s="23"/>
      <c r="Z105" s="23"/>
      <c r="AA105" s="23">
        <v>0</v>
      </c>
      <c r="AB105" s="24">
        <f t="shared" si="34"/>
        <v>0</v>
      </c>
      <c r="AC105" s="24">
        <f t="shared" si="35"/>
        <v>0</v>
      </c>
      <c r="AD105" s="25">
        <v>16.5</v>
      </c>
      <c r="AE105" s="25">
        <f t="shared" si="36"/>
        <v>0</v>
      </c>
      <c r="AF105" s="25">
        <f t="shared" si="37"/>
        <v>0</v>
      </c>
      <c r="AG105" s="25">
        <f t="shared" si="38"/>
        <v>0</v>
      </c>
      <c r="AH105" s="25">
        <f t="shared" si="39"/>
        <v>0</v>
      </c>
      <c r="AI105" s="25">
        <f t="shared" si="40"/>
        <v>0</v>
      </c>
      <c r="AJ105" s="25">
        <f t="shared" si="41"/>
        <v>0</v>
      </c>
      <c r="AK105" s="25">
        <f t="shared" si="42"/>
        <v>0</v>
      </c>
      <c r="AL105" s="25">
        <f t="shared" si="43"/>
        <v>0</v>
      </c>
      <c r="AM105" s="25">
        <f t="shared" si="44"/>
        <v>0</v>
      </c>
      <c r="AN105" s="25">
        <f t="shared" si="45"/>
        <v>0</v>
      </c>
      <c r="AO105" s="25">
        <f t="shared" si="46"/>
        <v>0</v>
      </c>
      <c r="AP105" s="25">
        <f t="shared" si="47"/>
        <v>0</v>
      </c>
      <c r="AQ105" s="25">
        <f t="shared" si="48"/>
        <v>0</v>
      </c>
      <c r="AR105" s="25">
        <f t="shared" si="49"/>
        <v>0</v>
      </c>
      <c r="AS105" s="25">
        <f t="shared" si="50"/>
        <v>0</v>
      </c>
      <c r="AT105" s="25">
        <f t="shared" si="51"/>
        <v>0</v>
      </c>
      <c r="AU105" s="25">
        <f t="shared" si="52"/>
        <v>0</v>
      </c>
      <c r="AV105" s="25">
        <f t="shared" si="53"/>
        <v>0</v>
      </c>
      <c r="AW105" s="25">
        <f t="shared" si="54"/>
        <v>0</v>
      </c>
      <c r="AX105" s="25">
        <f t="shared" si="55"/>
        <v>0</v>
      </c>
      <c r="AY105" s="25">
        <f t="shared" si="56"/>
        <v>0</v>
      </c>
      <c r="AZ105" s="25">
        <f t="shared" si="57"/>
        <v>0</v>
      </c>
      <c r="BA105" s="25">
        <f t="shared" si="58"/>
        <v>0</v>
      </c>
      <c r="BB105" s="25">
        <f t="shared" si="59"/>
        <v>0</v>
      </c>
      <c r="BC105" s="25">
        <f t="shared" si="60"/>
        <v>0</v>
      </c>
      <c r="BD105" s="25">
        <f t="shared" si="61"/>
        <v>0</v>
      </c>
      <c r="BE105" s="25">
        <f t="shared" si="62"/>
        <v>0</v>
      </c>
      <c r="BF105" s="25">
        <f t="shared" si="63"/>
        <v>0</v>
      </c>
    </row>
    <row r="106" spans="1:58" s="25" customFormat="1" ht="15" customHeight="1" x14ac:dyDescent="0.25">
      <c r="A106" s="38" t="s">
        <v>182</v>
      </c>
      <c r="B106" s="38">
        <v>4</v>
      </c>
      <c r="C106" s="27"/>
      <c r="D106" s="27"/>
      <c r="E106" s="20">
        <v>2</v>
      </c>
      <c r="F106" s="20"/>
      <c r="G106" s="20"/>
      <c r="H106" s="20">
        <v>3</v>
      </c>
      <c r="I106" s="20">
        <v>1</v>
      </c>
      <c r="J106" s="20">
        <f t="shared" si="33"/>
        <v>6</v>
      </c>
      <c r="K106" s="21"/>
      <c r="L106" s="23"/>
      <c r="M106" s="23"/>
      <c r="N106" s="43"/>
      <c r="O106" s="43"/>
      <c r="P106" s="23"/>
      <c r="Q106" s="23"/>
      <c r="R106" s="23"/>
      <c r="S106" s="23"/>
      <c r="T106" s="23"/>
      <c r="U106" s="23"/>
      <c r="V106" s="23"/>
      <c r="W106" s="23">
        <v>1</v>
      </c>
      <c r="X106" s="43"/>
      <c r="Y106" s="23"/>
      <c r="Z106" s="23"/>
      <c r="AA106" s="23"/>
      <c r="AB106" s="24">
        <f t="shared" si="34"/>
        <v>0</v>
      </c>
      <c r="AC106" s="24">
        <f t="shared" si="35"/>
        <v>6</v>
      </c>
      <c r="AD106" s="25">
        <v>19.5</v>
      </c>
      <c r="AE106" s="25">
        <f t="shared" si="36"/>
        <v>78</v>
      </c>
      <c r="AF106" s="25">
        <f t="shared" si="37"/>
        <v>0</v>
      </c>
      <c r="AG106" s="25">
        <f t="shared" si="38"/>
        <v>0</v>
      </c>
      <c r="AH106" s="25">
        <f t="shared" si="39"/>
        <v>39</v>
      </c>
      <c r="AI106" s="25">
        <f t="shared" si="40"/>
        <v>0</v>
      </c>
      <c r="AJ106" s="25">
        <f t="shared" si="41"/>
        <v>0</v>
      </c>
      <c r="AK106" s="25">
        <f t="shared" si="42"/>
        <v>58.5</v>
      </c>
      <c r="AL106" s="25">
        <f t="shared" si="43"/>
        <v>19.5</v>
      </c>
      <c r="AM106" s="25">
        <f t="shared" si="44"/>
        <v>117</v>
      </c>
      <c r="AN106" s="25">
        <f t="shared" si="45"/>
        <v>0</v>
      </c>
      <c r="AO106" s="25">
        <f t="shared" si="46"/>
        <v>0</v>
      </c>
      <c r="AP106" s="25">
        <f t="shared" si="47"/>
        <v>0</v>
      </c>
      <c r="AQ106" s="25">
        <f t="shared" si="48"/>
        <v>0</v>
      </c>
      <c r="AR106" s="25">
        <f t="shared" si="49"/>
        <v>0</v>
      </c>
      <c r="AS106" s="25">
        <f t="shared" si="50"/>
        <v>0</v>
      </c>
      <c r="AT106" s="25">
        <f t="shared" si="51"/>
        <v>0</v>
      </c>
      <c r="AU106" s="25">
        <f t="shared" si="52"/>
        <v>0</v>
      </c>
      <c r="AV106" s="25">
        <f t="shared" si="53"/>
        <v>0</v>
      </c>
      <c r="AW106" s="25">
        <f t="shared" si="54"/>
        <v>0</v>
      </c>
      <c r="AX106" s="25">
        <f t="shared" si="55"/>
        <v>0</v>
      </c>
      <c r="AY106" s="25">
        <f t="shared" si="56"/>
        <v>0</v>
      </c>
      <c r="AZ106" s="25">
        <f t="shared" si="57"/>
        <v>19.5</v>
      </c>
      <c r="BA106" s="25">
        <f t="shared" si="58"/>
        <v>0</v>
      </c>
      <c r="BB106" s="25">
        <f t="shared" si="59"/>
        <v>0</v>
      </c>
      <c r="BC106" s="25">
        <f t="shared" si="60"/>
        <v>0</v>
      </c>
      <c r="BD106" s="25">
        <f t="shared" si="61"/>
        <v>0</v>
      </c>
      <c r="BE106" s="25">
        <f t="shared" si="62"/>
        <v>0</v>
      </c>
      <c r="BF106" s="25">
        <f t="shared" si="63"/>
        <v>117</v>
      </c>
    </row>
    <row r="107" spans="1:58" s="25" customFormat="1" ht="15" customHeight="1" x14ac:dyDescent="0.25">
      <c r="A107" s="38" t="s">
        <v>183</v>
      </c>
      <c r="B107" s="38">
        <v>3</v>
      </c>
      <c r="C107" s="27"/>
      <c r="D107" s="27"/>
      <c r="E107" s="20">
        <v>1</v>
      </c>
      <c r="F107" s="20">
        <v>68</v>
      </c>
      <c r="G107" s="20"/>
      <c r="H107" s="20"/>
      <c r="I107" s="20">
        <v>10</v>
      </c>
      <c r="J107" s="20">
        <f t="shared" si="33"/>
        <v>4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>
        <v>10</v>
      </c>
      <c r="T107" s="23"/>
      <c r="U107" s="23"/>
      <c r="V107" s="23">
        <v>1</v>
      </c>
      <c r="W107" s="23">
        <v>1</v>
      </c>
      <c r="X107" s="43">
        <v>4</v>
      </c>
      <c r="Y107" s="23"/>
      <c r="Z107" s="23"/>
      <c r="AA107" s="23">
        <v>0</v>
      </c>
      <c r="AB107" s="24">
        <f t="shared" si="34"/>
        <v>0</v>
      </c>
      <c r="AC107" s="24">
        <f t="shared" si="35"/>
        <v>4</v>
      </c>
      <c r="AD107" s="25">
        <v>19.5</v>
      </c>
      <c r="AE107" s="25">
        <f t="shared" si="36"/>
        <v>58.5</v>
      </c>
      <c r="AF107" s="25">
        <f t="shared" si="37"/>
        <v>0</v>
      </c>
      <c r="AG107" s="25">
        <f t="shared" si="38"/>
        <v>0</v>
      </c>
      <c r="AH107" s="25">
        <f t="shared" si="39"/>
        <v>19.5</v>
      </c>
      <c r="AI107" s="25">
        <f t="shared" si="40"/>
        <v>1326</v>
      </c>
      <c r="AJ107" s="25">
        <f t="shared" si="41"/>
        <v>0</v>
      </c>
      <c r="AK107" s="25">
        <f t="shared" si="42"/>
        <v>0</v>
      </c>
      <c r="AL107" s="25">
        <f t="shared" si="43"/>
        <v>195</v>
      </c>
      <c r="AM107" s="25">
        <f t="shared" si="44"/>
        <v>78</v>
      </c>
      <c r="AN107" s="25">
        <f t="shared" si="45"/>
        <v>0</v>
      </c>
      <c r="AO107" s="25">
        <f t="shared" si="46"/>
        <v>0</v>
      </c>
      <c r="AP107" s="25">
        <f t="shared" si="47"/>
        <v>0</v>
      </c>
      <c r="AQ107" s="25">
        <f t="shared" si="48"/>
        <v>0</v>
      </c>
      <c r="AR107" s="25">
        <f t="shared" si="49"/>
        <v>39</v>
      </c>
      <c r="AS107" s="25">
        <f t="shared" si="50"/>
        <v>0</v>
      </c>
      <c r="AT107" s="25">
        <f t="shared" si="51"/>
        <v>0</v>
      </c>
      <c r="AU107" s="25">
        <f t="shared" si="52"/>
        <v>0</v>
      </c>
      <c r="AV107" s="25">
        <f t="shared" si="53"/>
        <v>195</v>
      </c>
      <c r="AW107" s="25">
        <f t="shared" si="54"/>
        <v>0</v>
      </c>
      <c r="AX107" s="25">
        <f t="shared" si="55"/>
        <v>0</v>
      </c>
      <c r="AY107" s="25">
        <f t="shared" si="56"/>
        <v>19.5</v>
      </c>
      <c r="AZ107" s="25">
        <f t="shared" si="57"/>
        <v>19.5</v>
      </c>
      <c r="BA107" s="25">
        <f t="shared" si="58"/>
        <v>78</v>
      </c>
      <c r="BB107" s="25">
        <f t="shared" si="59"/>
        <v>0</v>
      </c>
      <c r="BC107" s="25">
        <f t="shared" si="60"/>
        <v>0</v>
      </c>
      <c r="BD107" s="25">
        <f t="shared" si="61"/>
        <v>0</v>
      </c>
      <c r="BE107" s="25">
        <f t="shared" si="62"/>
        <v>0</v>
      </c>
      <c r="BF107" s="25">
        <f t="shared" si="63"/>
        <v>78</v>
      </c>
    </row>
    <row r="108" spans="1:58" s="25" customFormat="1" ht="15" customHeight="1" x14ac:dyDescent="0.25">
      <c r="A108" s="38" t="s">
        <v>184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33"/>
        <v>0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43"/>
      <c r="Y108" s="23"/>
      <c r="Z108" s="23"/>
      <c r="AA108" s="23"/>
      <c r="AB108" s="24">
        <f t="shared" si="34"/>
        <v>0</v>
      </c>
      <c r="AC108" s="24">
        <f t="shared" si="35"/>
        <v>0</v>
      </c>
      <c r="AD108" s="25">
        <v>19.5</v>
      </c>
      <c r="AE108" s="25">
        <f t="shared" si="36"/>
        <v>0</v>
      </c>
      <c r="AF108" s="25">
        <f t="shared" si="37"/>
        <v>0</v>
      </c>
      <c r="AG108" s="25">
        <f t="shared" si="38"/>
        <v>0</v>
      </c>
      <c r="AH108" s="25">
        <f t="shared" si="39"/>
        <v>0</v>
      </c>
      <c r="AI108" s="25">
        <f t="shared" si="40"/>
        <v>39</v>
      </c>
      <c r="AJ108" s="25">
        <f t="shared" si="41"/>
        <v>0</v>
      </c>
      <c r="AK108" s="25">
        <f t="shared" si="42"/>
        <v>0</v>
      </c>
      <c r="AL108" s="25">
        <f t="shared" si="43"/>
        <v>0</v>
      </c>
      <c r="AM108" s="25">
        <f t="shared" si="44"/>
        <v>0</v>
      </c>
      <c r="AN108" s="25">
        <f t="shared" si="45"/>
        <v>0</v>
      </c>
      <c r="AO108" s="25">
        <f t="shared" si="46"/>
        <v>0</v>
      </c>
      <c r="AP108" s="25">
        <f t="shared" si="47"/>
        <v>0</v>
      </c>
      <c r="AQ108" s="25">
        <f t="shared" si="48"/>
        <v>0</v>
      </c>
      <c r="AR108" s="25">
        <f t="shared" si="49"/>
        <v>0</v>
      </c>
      <c r="AS108" s="25">
        <f t="shared" si="50"/>
        <v>0</v>
      </c>
      <c r="AT108" s="25">
        <f t="shared" si="51"/>
        <v>0</v>
      </c>
      <c r="AU108" s="25">
        <f t="shared" si="52"/>
        <v>0</v>
      </c>
      <c r="AV108" s="25">
        <f t="shared" si="53"/>
        <v>0</v>
      </c>
      <c r="AW108" s="25">
        <f t="shared" si="54"/>
        <v>0</v>
      </c>
      <c r="AX108" s="25">
        <f t="shared" si="55"/>
        <v>0</v>
      </c>
      <c r="AY108" s="25">
        <f t="shared" si="56"/>
        <v>0</v>
      </c>
      <c r="AZ108" s="25">
        <f t="shared" si="57"/>
        <v>0</v>
      </c>
      <c r="BA108" s="25">
        <f t="shared" si="58"/>
        <v>0</v>
      </c>
      <c r="BB108" s="25">
        <f t="shared" si="59"/>
        <v>0</v>
      </c>
      <c r="BC108" s="25">
        <f t="shared" si="60"/>
        <v>0</v>
      </c>
      <c r="BD108" s="25">
        <f t="shared" si="61"/>
        <v>0</v>
      </c>
      <c r="BE108" s="25">
        <f t="shared" si="62"/>
        <v>0</v>
      </c>
      <c r="BF108" s="25">
        <f t="shared" si="63"/>
        <v>0</v>
      </c>
    </row>
    <row r="109" spans="1:58" s="25" customFormat="1" ht="15" customHeight="1" x14ac:dyDescent="0.25">
      <c r="A109" s="38" t="s">
        <v>185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>
        <v>2</v>
      </c>
      <c r="J109" s="20">
        <f t="shared" si="33"/>
        <v>3</v>
      </c>
      <c r="K109" s="21"/>
      <c r="L109" s="23"/>
      <c r="M109" s="23"/>
      <c r="N109" s="43"/>
      <c r="O109" s="43"/>
      <c r="P109" s="23"/>
      <c r="Q109" s="23"/>
      <c r="R109" s="23"/>
      <c r="S109" s="23">
        <v>3</v>
      </c>
      <c r="T109" s="23"/>
      <c r="U109" s="23"/>
      <c r="V109" s="23">
        <v>2</v>
      </c>
      <c r="W109" s="23"/>
      <c r="X109" s="43"/>
      <c r="Y109" s="23"/>
      <c r="Z109" s="23"/>
      <c r="AA109" s="23">
        <v>0</v>
      </c>
      <c r="AB109" s="24">
        <f t="shared" si="34"/>
        <v>0</v>
      </c>
      <c r="AC109" s="24">
        <f t="shared" si="35"/>
        <v>3</v>
      </c>
      <c r="AD109" s="25">
        <v>22.5</v>
      </c>
      <c r="AE109" s="25">
        <f t="shared" si="36"/>
        <v>0</v>
      </c>
      <c r="AF109" s="25">
        <f t="shared" si="37"/>
        <v>0</v>
      </c>
      <c r="AG109" s="25">
        <f t="shared" si="38"/>
        <v>0</v>
      </c>
      <c r="AH109" s="25">
        <f t="shared" si="39"/>
        <v>67.5</v>
      </c>
      <c r="AI109" s="25">
        <f t="shared" si="40"/>
        <v>0</v>
      </c>
      <c r="AJ109" s="25">
        <f t="shared" si="41"/>
        <v>0</v>
      </c>
      <c r="AK109" s="25">
        <f t="shared" si="42"/>
        <v>0</v>
      </c>
      <c r="AL109" s="25">
        <f t="shared" si="43"/>
        <v>45</v>
      </c>
      <c r="AM109" s="25">
        <f t="shared" si="44"/>
        <v>67.5</v>
      </c>
      <c r="AN109" s="25">
        <f t="shared" si="45"/>
        <v>0</v>
      </c>
      <c r="AO109" s="25">
        <f t="shared" si="46"/>
        <v>0</v>
      </c>
      <c r="AP109" s="25">
        <f t="shared" si="47"/>
        <v>0</v>
      </c>
      <c r="AQ109" s="25">
        <f t="shared" si="48"/>
        <v>0</v>
      </c>
      <c r="AR109" s="25">
        <f t="shared" si="49"/>
        <v>0</v>
      </c>
      <c r="AS109" s="25">
        <f t="shared" si="50"/>
        <v>0</v>
      </c>
      <c r="AT109" s="25">
        <f t="shared" si="51"/>
        <v>0</v>
      </c>
      <c r="AU109" s="25">
        <f t="shared" si="52"/>
        <v>0</v>
      </c>
      <c r="AV109" s="25">
        <f t="shared" si="53"/>
        <v>67.5</v>
      </c>
      <c r="AW109" s="25">
        <f t="shared" si="54"/>
        <v>0</v>
      </c>
      <c r="AX109" s="25">
        <f t="shared" si="55"/>
        <v>0</v>
      </c>
      <c r="AY109" s="25">
        <f t="shared" si="56"/>
        <v>45</v>
      </c>
      <c r="AZ109" s="25">
        <f t="shared" si="57"/>
        <v>0</v>
      </c>
      <c r="BA109" s="25">
        <f t="shared" si="58"/>
        <v>0</v>
      </c>
      <c r="BB109" s="25">
        <f t="shared" si="59"/>
        <v>0</v>
      </c>
      <c r="BC109" s="25">
        <f t="shared" si="60"/>
        <v>0</v>
      </c>
      <c r="BD109" s="25">
        <f t="shared" si="61"/>
        <v>0</v>
      </c>
      <c r="BE109" s="25">
        <f t="shared" si="62"/>
        <v>0</v>
      </c>
      <c r="BF109" s="25">
        <f t="shared" si="63"/>
        <v>67.5</v>
      </c>
    </row>
    <row r="110" spans="1:58" s="25" customFormat="1" ht="15" customHeight="1" x14ac:dyDescent="0.25">
      <c r="A110" s="38" t="s">
        <v>186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ref="J110:J173" si="64">B110+D110+E110</f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43"/>
      <c r="Y110" s="23"/>
      <c r="Z110" s="23"/>
      <c r="AA110" s="23"/>
      <c r="AB110" s="24">
        <f t="shared" ref="AB110:AB173" si="65">L110+M110+P110+Q110+R110</f>
        <v>0</v>
      </c>
      <c r="AC110" s="24">
        <f t="shared" si="35"/>
        <v>0</v>
      </c>
      <c r="AD110" s="25">
        <v>22.5</v>
      </c>
      <c r="AE110" s="25">
        <f t="shared" si="36"/>
        <v>0</v>
      </c>
      <c r="AF110" s="25">
        <f t="shared" si="37"/>
        <v>0</v>
      </c>
      <c r="AG110" s="25">
        <f t="shared" si="38"/>
        <v>0</v>
      </c>
      <c r="AH110" s="25">
        <f t="shared" si="39"/>
        <v>0</v>
      </c>
      <c r="AI110" s="25">
        <f t="shared" si="40"/>
        <v>0</v>
      </c>
      <c r="AJ110" s="25">
        <f t="shared" si="41"/>
        <v>0</v>
      </c>
      <c r="AK110" s="25">
        <f t="shared" si="42"/>
        <v>0</v>
      </c>
      <c r="AL110" s="25">
        <f t="shared" si="43"/>
        <v>0</v>
      </c>
      <c r="AM110" s="25">
        <f t="shared" si="44"/>
        <v>0</v>
      </c>
      <c r="AN110" s="25">
        <f t="shared" si="45"/>
        <v>0</v>
      </c>
      <c r="AO110" s="25">
        <f t="shared" si="46"/>
        <v>0</v>
      </c>
      <c r="AP110" s="25">
        <f t="shared" si="47"/>
        <v>0</v>
      </c>
      <c r="AQ110" s="25">
        <f t="shared" si="48"/>
        <v>0</v>
      </c>
      <c r="AR110" s="25">
        <f t="shared" si="49"/>
        <v>0</v>
      </c>
      <c r="AS110" s="25">
        <f t="shared" si="50"/>
        <v>0</v>
      </c>
      <c r="AT110" s="25">
        <f t="shared" si="51"/>
        <v>0</v>
      </c>
      <c r="AU110" s="25">
        <f t="shared" si="52"/>
        <v>0</v>
      </c>
      <c r="AV110" s="25">
        <f t="shared" si="53"/>
        <v>0</v>
      </c>
      <c r="AW110" s="25">
        <f t="shared" si="54"/>
        <v>0</v>
      </c>
      <c r="AX110" s="25">
        <f t="shared" si="55"/>
        <v>0</v>
      </c>
      <c r="AY110" s="25">
        <f t="shared" si="56"/>
        <v>0</v>
      </c>
      <c r="AZ110" s="25">
        <f t="shared" si="57"/>
        <v>0</v>
      </c>
      <c r="BA110" s="25">
        <f t="shared" si="58"/>
        <v>0</v>
      </c>
      <c r="BB110" s="25">
        <f t="shared" si="59"/>
        <v>0</v>
      </c>
      <c r="BC110" s="25">
        <f t="shared" si="60"/>
        <v>0</v>
      </c>
      <c r="BD110" s="25">
        <f t="shared" si="61"/>
        <v>0</v>
      </c>
      <c r="BE110" s="25">
        <f t="shared" si="62"/>
        <v>0</v>
      </c>
      <c r="BF110" s="25">
        <f t="shared" si="63"/>
        <v>0</v>
      </c>
    </row>
    <row r="111" spans="1:58" s="25" customFormat="1" ht="15" customHeight="1" x14ac:dyDescent="0.25">
      <c r="A111" s="38" t="s">
        <v>187</v>
      </c>
      <c r="B111" s="38">
        <v>4</v>
      </c>
      <c r="C111" s="27"/>
      <c r="D111" s="27"/>
      <c r="E111" s="20">
        <v>2</v>
      </c>
      <c r="F111" s="20">
        <v>6</v>
      </c>
      <c r="G111" s="20"/>
      <c r="H111" s="20">
        <v>1</v>
      </c>
      <c r="I111" s="20">
        <v>7</v>
      </c>
      <c r="J111" s="20">
        <f t="shared" si="64"/>
        <v>6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>
        <v>2</v>
      </c>
      <c r="W111" s="23">
        <v>10</v>
      </c>
      <c r="X111" s="43">
        <v>2</v>
      </c>
      <c r="Y111" s="23">
        <v>7</v>
      </c>
      <c r="Z111" s="23"/>
      <c r="AA111" s="23">
        <v>0</v>
      </c>
      <c r="AB111" s="24">
        <f t="shared" si="65"/>
        <v>0</v>
      </c>
      <c r="AC111" s="24">
        <f t="shared" si="35"/>
        <v>6</v>
      </c>
      <c r="AD111" s="25">
        <v>27</v>
      </c>
      <c r="AE111" s="25">
        <f t="shared" si="36"/>
        <v>108</v>
      </c>
      <c r="AF111" s="25">
        <f t="shared" si="37"/>
        <v>0</v>
      </c>
      <c r="AG111" s="25">
        <f t="shared" si="38"/>
        <v>0</v>
      </c>
      <c r="AH111" s="25">
        <f t="shared" si="39"/>
        <v>54</v>
      </c>
      <c r="AI111" s="25">
        <f t="shared" si="40"/>
        <v>162</v>
      </c>
      <c r="AJ111" s="25">
        <f t="shared" si="41"/>
        <v>0</v>
      </c>
      <c r="AK111" s="25">
        <f t="shared" si="42"/>
        <v>27</v>
      </c>
      <c r="AL111" s="25">
        <f t="shared" si="43"/>
        <v>189</v>
      </c>
      <c r="AM111" s="25">
        <f t="shared" si="44"/>
        <v>162</v>
      </c>
      <c r="AN111" s="25">
        <f t="shared" si="45"/>
        <v>0</v>
      </c>
      <c r="AO111" s="25">
        <f t="shared" si="46"/>
        <v>0</v>
      </c>
      <c r="AP111" s="25">
        <f t="shared" si="47"/>
        <v>0</v>
      </c>
      <c r="AQ111" s="25">
        <f t="shared" si="48"/>
        <v>0</v>
      </c>
      <c r="AR111" s="25">
        <f t="shared" si="49"/>
        <v>0</v>
      </c>
      <c r="AS111" s="25">
        <f t="shared" si="50"/>
        <v>0</v>
      </c>
      <c r="AT111" s="25">
        <f t="shared" si="51"/>
        <v>0</v>
      </c>
      <c r="AU111" s="25">
        <f t="shared" si="52"/>
        <v>0</v>
      </c>
      <c r="AV111" s="25">
        <f t="shared" si="53"/>
        <v>0</v>
      </c>
      <c r="AW111" s="25">
        <f t="shared" si="54"/>
        <v>0</v>
      </c>
      <c r="AX111" s="25">
        <f t="shared" si="55"/>
        <v>0</v>
      </c>
      <c r="AY111" s="25">
        <f t="shared" si="56"/>
        <v>54</v>
      </c>
      <c r="AZ111" s="25">
        <f t="shared" si="57"/>
        <v>270</v>
      </c>
      <c r="BA111" s="25">
        <f t="shared" si="58"/>
        <v>54</v>
      </c>
      <c r="BB111" s="25">
        <f t="shared" si="59"/>
        <v>189</v>
      </c>
      <c r="BC111" s="25">
        <f t="shared" si="60"/>
        <v>0</v>
      </c>
      <c r="BD111" s="25">
        <f t="shared" si="61"/>
        <v>0</v>
      </c>
      <c r="BE111" s="25">
        <f t="shared" si="62"/>
        <v>0</v>
      </c>
      <c r="BF111" s="25">
        <f t="shared" si="63"/>
        <v>162</v>
      </c>
    </row>
    <row r="112" spans="1:58" s="25" customFormat="1" ht="15" customHeight="1" x14ac:dyDescent="0.25">
      <c r="A112" s="38" t="s">
        <v>188</v>
      </c>
      <c r="B112" s="38">
        <v>1</v>
      </c>
      <c r="C112" s="27"/>
      <c r="D112" s="27"/>
      <c r="E112" s="20">
        <v>21</v>
      </c>
      <c r="F112" s="20">
        <v>20</v>
      </c>
      <c r="G112" s="20"/>
      <c r="H112" s="20">
        <v>14</v>
      </c>
      <c r="I112" s="20">
        <v>13</v>
      </c>
      <c r="J112" s="20">
        <f t="shared" si="64"/>
        <v>22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>
        <v>18</v>
      </c>
      <c r="T112" s="23"/>
      <c r="U112" s="23"/>
      <c r="V112" s="23">
        <v>22</v>
      </c>
      <c r="W112" s="23">
        <v>14</v>
      </c>
      <c r="X112" s="43"/>
      <c r="Y112" s="23">
        <v>2</v>
      </c>
      <c r="Z112" s="23"/>
      <c r="AA112" s="23">
        <v>0</v>
      </c>
      <c r="AB112" s="24">
        <f t="shared" si="65"/>
        <v>1</v>
      </c>
      <c r="AC112" s="24">
        <f t="shared" si="35"/>
        <v>21</v>
      </c>
      <c r="AD112" s="25">
        <v>29.5</v>
      </c>
      <c r="AE112" s="25">
        <f t="shared" si="36"/>
        <v>29.5</v>
      </c>
      <c r="AF112" s="25">
        <f t="shared" si="37"/>
        <v>0</v>
      </c>
      <c r="AG112" s="25">
        <f t="shared" si="38"/>
        <v>0</v>
      </c>
      <c r="AH112" s="25">
        <f t="shared" si="39"/>
        <v>619.5</v>
      </c>
      <c r="AI112" s="25">
        <f t="shared" si="40"/>
        <v>590</v>
      </c>
      <c r="AJ112" s="25">
        <f t="shared" si="41"/>
        <v>0</v>
      </c>
      <c r="AK112" s="25">
        <f t="shared" si="42"/>
        <v>413</v>
      </c>
      <c r="AL112" s="25">
        <f t="shared" si="43"/>
        <v>383.5</v>
      </c>
      <c r="AM112" s="25">
        <f t="shared" si="44"/>
        <v>649</v>
      </c>
      <c r="AN112" s="25">
        <f t="shared" si="45"/>
        <v>0</v>
      </c>
      <c r="AO112" s="25">
        <f t="shared" si="46"/>
        <v>29.5</v>
      </c>
      <c r="AP112" s="25">
        <f t="shared" si="47"/>
        <v>0</v>
      </c>
      <c r="AQ112" s="25">
        <f t="shared" si="48"/>
        <v>0</v>
      </c>
      <c r="AR112" s="25">
        <f t="shared" si="49"/>
        <v>0</v>
      </c>
      <c r="AS112" s="25">
        <f t="shared" si="50"/>
        <v>0</v>
      </c>
      <c r="AT112" s="25">
        <f t="shared" si="51"/>
        <v>0</v>
      </c>
      <c r="AU112" s="25">
        <f t="shared" si="52"/>
        <v>0</v>
      </c>
      <c r="AV112" s="25">
        <f t="shared" si="53"/>
        <v>531</v>
      </c>
      <c r="AW112" s="25">
        <f t="shared" si="54"/>
        <v>0</v>
      </c>
      <c r="AX112" s="25">
        <f t="shared" si="55"/>
        <v>0</v>
      </c>
      <c r="AY112" s="25">
        <f t="shared" si="56"/>
        <v>649</v>
      </c>
      <c r="AZ112" s="25">
        <f t="shared" si="57"/>
        <v>413</v>
      </c>
      <c r="BA112" s="25">
        <f t="shared" si="58"/>
        <v>0</v>
      </c>
      <c r="BB112" s="25">
        <f t="shared" si="59"/>
        <v>59</v>
      </c>
      <c r="BC112" s="25">
        <f t="shared" si="60"/>
        <v>0</v>
      </c>
      <c r="BD112" s="25">
        <f t="shared" si="61"/>
        <v>0</v>
      </c>
      <c r="BE112" s="25">
        <f t="shared" si="62"/>
        <v>29.5</v>
      </c>
      <c r="BF112" s="25">
        <f t="shared" si="63"/>
        <v>619.5</v>
      </c>
    </row>
    <row r="113" spans="1:58" s="25" customFormat="1" ht="15" customHeight="1" x14ac:dyDescent="0.25">
      <c r="A113" s="38" t="s">
        <v>189</v>
      </c>
      <c r="B113" s="38">
        <v>159</v>
      </c>
      <c r="C113" s="27"/>
      <c r="D113" s="27"/>
      <c r="E113" s="20"/>
      <c r="F113" s="20">
        <v>44</v>
      </c>
      <c r="G113" s="20"/>
      <c r="H113" s="20">
        <v>8</v>
      </c>
      <c r="I113" s="20">
        <v>6</v>
      </c>
      <c r="J113" s="20">
        <f t="shared" si="64"/>
        <v>159</v>
      </c>
      <c r="K113" s="21"/>
      <c r="L113" s="23"/>
      <c r="M113" s="23"/>
      <c r="N113" s="43"/>
      <c r="O113" s="43"/>
      <c r="P113" s="23"/>
      <c r="Q113" s="23"/>
      <c r="R113" s="23">
        <v>159</v>
      </c>
      <c r="S113" s="23"/>
      <c r="T113" s="23"/>
      <c r="U113" s="23">
        <v>182</v>
      </c>
      <c r="V113" s="23">
        <v>3</v>
      </c>
      <c r="W113" s="23">
        <v>2</v>
      </c>
      <c r="X113" s="43"/>
      <c r="Y113" s="23"/>
      <c r="Z113" s="23"/>
      <c r="AA113" s="23">
        <v>10</v>
      </c>
      <c r="AB113" s="24">
        <f t="shared" si="65"/>
        <v>159</v>
      </c>
      <c r="AC113" s="24">
        <f t="shared" si="35"/>
        <v>0</v>
      </c>
      <c r="AD113" s="25">
        <v>6.2</v>
      </c>
      <c r="AE113" s="25">
        <f t="shared" si="36"/>
        <v>985.80000000000007</v>
      </c>
      <c r="AF113" s="25">
        <f t="shared" si="37"/>
        <v>0</v>
      </c>
      <c r="AG113" s="25">
        <f t="shared" si="38"/>
        <v>0</v>
      </c>
      <c r="AH113" s="25">
        <f t="shared" si="39"/>
        <v>0</v>
      </c>
      <c r="AI113" s="25">
        <f t="shared" si="40"/>
        <v>272.8</v>
      </c>
      <c r="AJ113" s="25">
        <f t="shared" si="41"/>
        <v>0</v>
      </c>
      <c r="AK113" s="25">
        <f t="shared" si="42"/>
        <v>49.6</v>
      </c>
      <c r="AL113" s="25">
        <f t="shared" si="43"/>
        <v>37.200000000000003</v>
      </c>
      <c r="AM113" s="25">
        <f t="shared" si="44"/>
        <v>985.80000000000007</v>
      </c>
      <c r="AN113" s="25">
        <f t="shared" si="45"/>
        <v>0</v>
      </c>
      <c r="AO113" s="25">
        <f t="shared" si="46"/>
        <v>0</v>
      </c>
      <c r="AP113" s="25">
        <f t="shared" si="47"/>
        <v>0</v>
      </c>
      <c r="AQ113" s="25">
        <f t="shared" si="48"/>
        <v>0</v>
      </c>
      <c r="AR113" s="25">
        <f t="shared" si="49"/>
        <v>0</v>
      </c>
      <c r="AS113" s="25">
        <f t="shared" si="50"/>
        <v>0</v>
      </c>
      <c r="AT113" s="25">
        <f t="shared" si="51"/>
        <v>0</v>
      </c>
      <c r="AU113" s="25">
        <f t="shared" si="52"/>
        <v>985.80000000000007</v>
      </c>
      <c r="AV113" s="25">
        <f t="shared" si="53"/>
        <v>0</v>
      </c>
      <c r="AW113" s="25">
        <f t="shared" si="54"/>
        <v>0</v>
      </c>
      <c r="AX113" s="25">
        <f t="shared" si="55"/>
        <v>1128.4000000000001</v>
      </c>
      <c r="AY113" s="25">
        <f t="shared" si="56"/>
        <v>18.600000000000001</v>
      </c>
      <c r="AZ113" s="25">
        <f t="shared" si="57"/>
        <v>12.4</v>
      </c>
      <c r="BA113" s="25">
        <f t="shared" si="58"/>
        <v>0</v>
      </c>
      <c r="BB113" s="25">
        <f t="shared" si="59"/>
        <v>0</v>
      </c>
      <c r="BC113" s="25">
        <f t="shared" si="60"/>
        <v>0</v>
      </c>
      <c r="BD113" s="25">
        <f t="shared" si="61"/>
        <v>62</v>
      </c>
      <c r="BE113" s="25">
        <f t="shared" si="62"/>
        <v>985.80000000000007</v>
      </c>
      <c r="BF113" s="25">
        <f t="shared" si="63"/>
        <v>0</v>
      </c>
    </row>
    <row r="114" spans="1:58" s="25" customFormat="1" ht="15" customHeight="1" x14ac:dyDescent="0.25">
      <c r="A114" s="38" t="s">
        <v>190</v>
      </c>
      <c r="B114" s="38">
        <v>98</v>
      </c>
      <c r="C114" s="27"/>
      <c r="D114" s="27"/>
      <c r="E114" s="20"/>
      <c r="F114" s="20"/>
      <c r="G114" s="20"/>
      <c r="H114" s="20"/>
      <c r="I114" s="20"/>
      <c r="J114" s="20">
        <f t="shared" si="64"/>
        <v>98</v>
      </c>
      <c r="K114" s="21"/>
      <c r="L114" s="23"/>
      <c r="M114" s="23"/>
      <c r="N114" s="43"/>
      <c r="O114" s="43"/>
      <c r="P114" s="23"/>
      <c r="Q114" s="23"/>
      <c r="R114" s="23">
        <v>33</v>
      </c>
      <c r="S114" s="23"/>
      <c r="T114" s="23"/>
      <c r="U114" s="23">
        <v>98</v>
      </c>
      <c r="V114" s="23"/>
      <c r="W114" s="23"/>
      <c r="X114" s="43"/>
      <c r="Y114" s="23"/>
      <c r="Z114" s="23">
        <v>0</v>
      </c>
      <c r="AA114" s="23">
        <v>0</v>
      </c>
      <c r="AB114" s="24">
        <f t="shared" si="65"/>
        <v>33</v>
      </c>
      <c r="AC114" s="24">
        <f t="shared" si="35"/>
        <v>65</v>
      </c>
      <c r="AD114" s="25">
        <v>9.3000000000000007</v>
      </c>
      <c r="AE114" s="25">
        <f t="shared" si="36"/>
        <v>911.40000000000009</v>
      </c>
      <c r="AF114" s="25">
        <f t="shared" si="37"/>
        <v>0</v>
      </c>
      <c r="AG114" s="25">
        <f t="shared" si="38"/>
        <v>0</v>
      </c>
      <c r="AH114" s="25">
        <f t="shared" si="39"/>
        <v>0</v>
      </c>
      <c r="AI114" s="25">
        <f t="shared" si="40"/>
        <v>0</v>
      </c>
      <c r="AJ114" s="25">
        <f t="shared" si="41"/>
        <v>0</v>
      </c>
      <c r="AK114" s="25">
        <f t="shared" si="42"/>
        <v>0</v>
      </c>
      <c r="AL114" s="25">
        <f t="shared" si="43"/>
        <v>0</v>
      </c>
      <c r="AM114" s="25">
        <f t="shared" si="44"/>
        <v>911.40000000000009</v>
      </c>
      <c r="AN114" s="25">
        <f t="shared" si="45"/>
        <v>0</v>
      </c>
      <c r="AO114" s="25">
        <f t="shared" si="46"/>
        <v>0</v>
      </c>
      <c r="AP114" s="25">
        <f t="shared" si="47"/>
        <v>0</v>
      </c>
      <c r="AQ114" s="25">
        <f t="shared" si="48"/>
        <v>0</v>
      </c>
      <c r="AR114" s="25">
        <f t="shared" si="49"/>
        <v>0</v>
      </c>
      <c r="AS114" s="25">
        <f t="shared" si="50"/>
        <v>0</v>
      </c>
      <c r="AT114" s="25">
        <f t="shared" si="51"/>
        <v>0</v>
      </c>
      <c r="AU114" s="25">
        <f t="shared" si="52"/>
        <v>306.90000000000003</v>
      </c>
      <c r="AV114" s="25">
        <f t="shared" si="53"/>
        <v>0</v>
      </c>
      <c r="AW114" s="25">
        <f t="shared" si="54"/>
        <v>0</v>
      </c>
      <c r="AX114" s="25">
        <f t="shared" si="55"/>
        <v>911.40000000000009</v>
      </c>
      <c r="AY114" s="25">
        <f t="shared" si="56"/>
        <v>0</v>
      </c>
      <c r="AZ114" s="25">
        <f t="shared" si="57"/>
        <v>0</v>
      </c>
      <c r="BA114" s="25">
        <f t="shared" si="58"/>
        <v>0</v>
      </c>
      <c r="BB114" s="25">
        <f t="shared" si="59"/>
        <v>0</v>
      </c>
      <c r="BC114" s="25">
        <f t="shared" si="60"/>
        <v>0</v>
      </c>
      <c r="BD114" s="25">
        <f t="shared" si="61"/>
        <v>0</v>
      </c>
      <c r="BE114" s="25">
        <f t="shared" si="62"/>
        <v>306.90000000000003</v>
      </c>
      <c r="BF114" s="25">
        <f t="shared" si="63"/>
        <v>604.5</v>
      </c>
    </row>
    <row r="115" spans="1:58" s="25" customFormat="1" ht="15" customHeight="1" x14ac:dyDescent="0.25">
      <c r="A115" s="38" t="s">
        <v>191</v>
      </c>
      <c r="B115" s="38">
        <v>24</v>
      </c>
      <c r="C115" s="27"/>
      <c r="D115" s="27"/>
      <c r="E115" s="20"/>
      <c r="F115" s="20"/>
      <c r="G115" s="20"/>
      <c r="H115" s="20"/>
      <c r="I115" s="20"/>
      <c r="J115" s="20">
        <f t="shared" si="64"/>
        <v>24</v>
      </c>
      <c r="K115" s="21"/>
      <c r="L115" s="23"/>
      <c r="M115" s="23"/>
      <c r="N115" s="43"/>
      <c r="O115" s="43"/>
      <c r="P115" s="23"/>
      <c r="Q115" s="23"/>
      <c r="R115" s="23"/>
      <c r="S115" s="23"/>
      <c r="T115" s="23"/>
      <c r="U115" s="23"/>
      <c r="V115" s="23"/>
      <c r="W115" s="23"/>
      <c r="X115" s="43"/>
      <c r="Y115" s="23"/>
      <c r="Z115" s="23"/>
      <c r="AA115" s="23"/>
      <c r="AB115" s="24">
        <f t="shared" si="65"/>
        <v>0</v>
      </c>
      <c r="AC115" s="24">
        <f t="shared" si="35"/>
        <v>24</v>
      </c>
      <c r="AD115" s="25">
        <v>6.2</v>
      </c>
      <c r="AE115" s="25">
        <f t="shared" si="36"/>
        <v>148.80000000000001</v>
      </c>
      <c r="AF115" s="25">
        <f t="shared" si="37"/>
        <v>0</v>
      </c>
      <c r="AG115" s="25">
        <f t="shared" si="38"/>
        <v>0</v>
      </c>
      <c r="AH115" s="25">
        <f t="shared" si="39"/>
        <v>0</v>
      </c>
      <c r="AI115" s="25">
        <f t="shared" si="40"/>
        <v>0</v>
      </c>
      <c r="AJ115" s="25">
        <f t="shared" si="41"/>
        <v>0</v>
      </c>
      <c r="AK115" s="25">
        <f t="shared" si="42"/>
        <v>0</v>
      </c>
      <c r="AL115" s="25">
        <f t="shared" si="43"/>
        <v>0</v>
      </c>
      <c r="AM115" s="25">
        <f t="shared" si="44"/>
        <v>148.80000000000001</v>
      </c>
      <c r="AN115" s="25">
        <f t="shared" si="45"/>
        <v>0</v>
      </c>
      <c r="AO115" s="25">
        <f t="shared" si="46"/>
        <v>0</v>
      </c>
      <c r="AP115" s="25">
        <f t="shared" si="47"/>
        <v>0</v>
      </c>
      <c r="AQ115" s="25">
        <f t="shared" si="48"/>
        <v>0</v>
      </c>
      <c r="AR115" s="25">
        <f t="shared" si="49"/>
        <v>0</v>
      </c>
      <c r="AS115" s="25">
        <f t="shared" si="50"/>
        <v>0</v>
      </c>
      <c r="AT115" s="25">
        <f t="shared" si="51"/>
        <v>0</v>
      </c>
      <c r="AU115" s="25">
        <f t="shared" si="52"/>
        <v>0</v>
      </c>
      <c r="AV115" s="25">
        <f t="shared" si="53"/>
        <v>0</v>
      </c>
      <c r="AW115" s="25">
        <f t="shared" si="54"/>
        <v>0</v>
      </c>
      <c r="AX115" s="25">
        <f t="shared" si="55"/>
        <v>0</v>
      </c>
      <c r="AY115" s="25">
        <f t="shared" si="56"/>
        <v>0</v>
      </c>
      <c r="AZ115" s="25">
        <f t="shared" si="57"/>
        <v>0</v>
      </c>
      <c r="BA115" s="25">
        <f t="shared" si="58"/>
        <v>0</v>
      </c>
      <c r="BB115" s="25">
        <f t="shared" si="59"/>
        <v>0</v>
      </c>
      <c r="BC115" s="25">
        <f t="shared" si="60"/>
        <v>0</v>
      </c>
      <c r="BD115" s="25">
        <f t="shared" si="61"/>
        <v>0</v>
      </c>
      <c r="BE115" s="25">
        <f t="shared" si="62"/>
        <v>0</v>
      </c>
      <c r="BF115" s="25">
        <f t="shared" si="63"/>
        <v>148.80000000000001</v>
      </c>
    </row>
    <row r="116" spans="1:58" s="25" customFormat="1" ht="15" customHeight="1" x14ac:dyDescent="0.25">
      <c r="A116" s="38" t="s">
        <v>192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64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43"/>
      <c r="Y116" s="23"/>
      <c r="Z116" s="23"/>
      <c r="AA116" s="23"/>
      <c r="AB116" s="24">
        <f t="shared" si="65"/>
        <v>0</v>
      </c>
      <c r="AC116" s="24">
        <f t="shared" si="35"/>
        <v>201</v>
      </c>
      <c r="AD116" s="25">
        <v>9.3000000000000007</v>
      </c>
      <c r="AE116" s="25">
        <f t="shared" si="36"/>
        <v>1869.3000000000002</v>
      </c>
      <c r="AF116" s="25">
        <f t="shared" si="37"/>
        <v>0</v>
      </c>
      <c r="AG116" s="25">
        <f t="shared" si="38"/>
        <v>0</v>
      </c>
      <c r="AH116" s="25">
        <f t="shared" si="39"/>
        <v>0</v>
      </c>
      <c r="AI116" s="25">
        <f t="shared" si="40"/>
        <v>0</v>
      </c>
      <c r="AJ116" s="25">
        <f t="shared" si="41"/>
        <v>0</v>
      </c>
      <c r="AK116" s="25">
        <f t="shared" si="42"/>
        <v>0</v>
      </c>
      <c r="AL116" s="25">
        <f t="shared" si="43"/>
        <v>0</v>
      </c>
      <c r="AM116" s="25">
        <f t="shared" si="44"/>
        <v>1869.3000000000002</v>
      </c>
      <c r="AN116" s="25">
        <f t="shared" si="45"/>
        <v>0</v>
      </c>
      <c r="AO116" s="25">
        <f t="shared" si="46"/>
        <v>0</v>
      </c>
      <c r="AP116" s="25">
        <f t="shared" si="47"/>
        <v>0</v>
      </c>
      <c r="AQ116" s="25">
        <f t="shared" si="48"/>
        <v>0</v>
      </c>
      <c r="AR116" s="25">
        <f t="shared" si="49"/>
        <v>0</v>
      </c>
      <c r="AS116" s="25">
        <f t="shared" si="50"/>
        <v>0</v>
      </c>
      <c r="AT116" s="25">
        <f t="shared" si="51"/>
        <v>0</v>
      </c>
      <c r="AU116" s="25">
        <f t="shared" si="52"/>
        <v>0</v>
      </c>
      <c r="AV116" s="25">
        <f t="shared" si="53"/>
        <v>0</v>
      </c>
      <c r="AW116" s="25">
        <f t="shared" si="54"/>
        <v>0</v>
      </c>
      <c r="AX116" s="25">
        <f t="shared" si="55"/>
        <v>0</v>
      </c>
      <c r="AY116" s="25">
        <f t="shared" si="56"/>
        <v>0</v>
      </c>
      <c r="AZ116" s="25">
        <f t="shared" si="57"/>
        <v>0</v>
      </c>
      <c r="BA116" s="25">
        <f t="shared" si="58"/>
        <v>0</v>
      </c>
      <c r="BB116" s="25">
        <f t="shared" si="59"/>
        <v>0</v>
      </c>
      <c r="BC116" s="25">
        <f t="shared" si="60"/>
        <v>0</v>
      </c>
      <c r="BD116" s="25">
        <f t="shared" si="61"/>
        <v>0</v>
      </c>
      <c r="BE116" s="25">
        <f t="shared" si="62"/>
        <v>0</v>
      </c>
      <c r="BF116" s="25">
        <f t="shared" si="63"/>
        <v>1869.3000000000002</v>
      </c>
    </row>
    <row r="117" spans="1:58" s="25" customFormat="1" ht="15" customHeight="1" x14ac:dyDescent="0.25">
      <c r="A117" s="38" t="s">
        <v>193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64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43"/>
      <c r="Y117" s="23"/>
      <c r="Z117" s="23"/>
      <c r="AA117" s="23"/>
      <c r="AB117" s="24">
        <f t="shared" si="65"/>
        <v>0</v>
      </c>
      <c r="AC117" s="24">
        <f t="shared" si="35"/>
        <v>96</v>
      </c>
      <c r="AD117" s="25">
        <v>18.600000000000001</v>
      </c>
      <c r="AE117" s="25">
        <f t="shared" si="36"/>
        <v>1785.6000000000001</v>
      </c>
      <c r="AF117" s="25">
        <f t="shared" si="37"/>
        <v>0</v>
      </c>
      <c r="AG117" s="25">
        <f t="shared" si="38"/>
        <v>0</v>
      </c>
      <c r="AH117" s="25">
        <f t="shared" si="39"/>
        <v>0</v>
      </c>
      <c r="AI117" s="25">
        <f t="shared" si="40"/>
        <v>0</v>
      </c>
      <c r="AJ117" s="25">
        <f t="shared" si="41"/>
        <v>0</v>
      </c>
      <c r="AK117" s="25">
        <f t="shared" si="42"/>
        <v>0</v>
      </c>
      <c r="AL117" s="25">
        <f t="shared" si="43"/>
        <v>0</v>
      </c>
      <c r="AM117" s="25">
        <f t="shared" si="44"/>
        <v>1785.6000000000001</v>
      </c>
      <c r="AN117" s="25">
        <f t="shared" si="45"/>
        <v>0</v>
      </c>
      <c r="AO117" s="25">
        <f t="shared" si="46"/>
        <v>0</v>
      </c>
      <c r="AP117" s="25">
        <f t="shared" si="47"/>
        <v>0</v>
      </c>
      <c r="AQ117" s="25">
        <f t="shared" si="48"/>
        <v>0</v>
      </c>
      <c r="AR117" s="25">
        <f t="shared" si="49"/>
        <v>0</v>
      </c>
      <c r="AS117" s="25">
        <f t="shared" si="50"/>
        <v>0</v>
      </c>
      <c r="AT117" s="25">
        <f t="shared" si="51"/>
        <v>0</v>
      </c>
      <c r="AU117" s="25">
        <f t="shared" si="52"/>
        <v>0</v>
      </c>
      <c r="AV117" s="25">
        <f t="shared" si="53"/>
        <v>0</v>
      </c>
      <c r="AW117" s="25">
        <f t="shared" si="54"/>
        <v>0</v>
      </c>
      <c r="AX117" s="25">
        <f t="shared" si="55"/>
        <v>0</v>
      </c>
      <c r="AY117" s="25">
        <f t="shared" si="56"/>
        <v>0</v>
      </c>
      <c r="AZ117" s="25">
        <f t="shared" si="57"/>
        <v>0</v>
      </c>
      <c r="BA117" s="25">
        <f t="shared" si="58"/>
        <v>0</v>
      </c>
      <c r="BB117" s="25">
        <f t="shared" si="59"/>
        <v>0</v>
      </c>
      <c r="BC117" s="25">
        <f t="shared" si="60"/>
        <v>0</v>
      </c>
      <c r="BD117" s="25">
        <f t="shared" si="61"/>
        <v>0</v>
      </c>
      <c r="BE117" s="25">
        <f t="shared" si="62"/>
        <v>0</v>
      </c>
      <c r="BF117" s="25">
        <f t="shared" si="63"/>
        <v>1785.6000000000001</v>
      </c>
    </row>
    <row r="118" spans="1:58" s="25" customFormat="1" ht="15" customHeight="1" x14ac:dyDescent="0.25">
      <c r="A118" s="38" t="s">
        <v>194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64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>
        <v>0</v>
      </c>
      <c r="V118" s="23"/>
      <c r="W118" s="23"/>
      <c r="X118" s="43"/>
      <c r="Y118" s="23">
        <v>26</v>
      </c>
      <c r="Z118" s="23">
        <v>20</v>
      </c>
      <c r="AA118" s="23"/>
      <c r="AB118" s="24">
        <f t="shared" si="65"/>
        <v>0</v>
      </c>
      <c r="AC118" s="24">
        <f t="shared" si="35"/>
        <v>7</v>
      </c>
      <c r="AD118" s="25">
        <v>5.5</v>
      </c>
      <c r="AE118" s="25">
        <f t="shared" si="36"/>
        <v>38.5</v>
      </c>
      <c r="AF118" s="25">
        <f t="shared" si="37"/>
        <v>0</v>
      </c>
      <c r="AG118" s="25">
        <f t="shared" si="38"/>
        <v>0</v>
      </c>
      <c r="AH118" s="25">
        <f t="shared" si="39"/>
        <v>0</v>
      </c>
      <c r="AI118" s="25">
        <f t="shared" si="40"/>
        <v>0</v>
      </c>
      <c r="AJ118" s="25">
        <f t="shared" si="41"/>
        <v>0</v>
      </c>
      <c r="AK118" s="25">
        <f t="shared" si="42"/>
        <v>0</v>
      </c>
      <c r="AL118" s="25">
        <f t="shared" si="43"/>
        <v>0</v>
      </c>
      <c r="AM118" s="25">
        <f t="shared" si="44"/>
        <v>38.5</v>
      </c>
      <c r="AN118" s="25">
        <f t="shared" si="45"/>
        <v>0</v>
      </c>
      <c r="AO118" s="25">
        <f t="shared" si="46"/>
        <v>0</v>
      </c>
      <c r="AP118" s="25">
        <f t="shared" si="47"/>
        <v>0</v>
      </c>
      <c r="AQ118" s="25">
        <f t="shared" si="48"/>
        <v>0</v>
      </c>
      <c r="AR118" s="25">
        <f t="shared" si="49"/>
        <v>0</v>
      </c>
      <c r="AS118" s="25">
        <f t="shared" si="50"/>
        <v>0</v>
      </c>
      <c r="AT118" s="25">
        <f t="shared" si="51"/>
        <v>0</v>
      </c>
      <c r="AU118" s="25">
        <f t="shared" si="52"/>
        <v>0</v>
      </c>
      <c r="AV118" s="25">
        <f t="shared" si="53"/>
        <v>0</v>
      </c>
      <c r="AW118" s="25">
        <f t="shared" si="54"/>
        <v>0</v>
      </c>
      <c r="AX118" s="25">
        <f t="shared" si="55"/>
        <v>0</v>
      </c>
      <c r="AY118" s="25">
        <f t="shared" si="56"/>
        <v>0</v>
      </c>
      <c r="AZ118" s="25">
        <f t="shared" si="57"/>
        <v>0</v>
      </c>
      <c r="BA118" s="25">
        <f t="shared" si="58"/>
        <v>0</v>
      </c>
      <c r="BB118" s="25">
        <f t="shared" si="59"/>
        <v>143</v>
      </c>
      <c r="BC118" s="25">
        <f t="shared" si="60"/>
        <v>110</v>
      </c>
      <c r="BD118" s="25">
        <f t="shared" si="61"/>
        <v>0</v>
      </c>
      <c r="BE118" s="25">
        <f t="shared" si="62"/>
        <v>0</v>
      </c>
      <c r="BF118" s="25">
        <f t="shared" si="63"/>
        <v>38.5</v>
      </c>
    </row>
    <row r="119" spans="1:58" s="25" customFormat="1" ht="15" customHeight="1" x14ac:dyDescent="0.25">
      <c r="A119" s="38" t="s">
        <v>195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64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43"/>
      <c r="Y119" s="23"/>
      <c r="Z119" s="23"/>
      <c r="AA119" s="23"/>
      <c r="AB119" s="24">
        <f t="shared" si="65"/>
        <v>0</v>
      </c>
      <c r="AC119" s="24">
        <f t="shared" si="35"/>
        <v>0</v>
      </c>
      <c r="AD119" s="25">
        <v>5.5</v>
      </c>
      <c r="AE119" s="25">
        <f t="shared" si="36"/>
        <v>0</v>
      </c>
      <c r="AF119" s="25">
        <f t="shared" si="37"/>
        <v>0</v>
      </c>
      <c r="AG119" s="25">
        <f t="shared" si="38"/>
        <v>0</v>
      </c>
      <c r="AH119" s="25">
        <f t="shared" si="39"/>
        <v>0</v>
      </c>
      <c r="AI119" s="25">
        <f t="shared" si="40"/>
        <v>0</v>
      </c>
      <c r="AJ119" s="25">
        <f t="shared" si="41"/>
        <v>0</v>
      </c>
      <c r="AK119" s="25">
        <f t="shared" si="42"/>
        <v>0</v>
      </c>
      <c r="AL119" s="25">
        <f t="shared" si="43"/>
        <v>0</v>
      </c>
      <c r="AM119" s="25">
        <f t="shared" si="44"/>
        <v>0</v>
      </c>
      <c r="AN119" s="25">
        <f t="shared" si="45"/>
        <v>0</v>
      </c>
      <c r="AO119" s="25">
        <f t="shared" si="46"/>
        <v>0</v>
      </c>
      <c r="AP119" s="25">
        <f t="shared" si="47"/>
        <v>0</v>
      </c>
      <c r="AQ119" s="25">
        <f t="shared" si="48"/>
        <v>0</v>
      </c>
      <c r="AR119" s="25">
        <f t="shared" si="49"/>
        <v>0</v>
      </c>
      <c r="AS119" s="25">
        <f t="shared" si="50"/>
        <v>0</v>
      </c>
      <c r="AT119" s="25">
        <f t="shared" si="51"/>
        <v>0</v>
      </c>
      <c r="AU119" s="25">
        <f t="shared" si="52"/>
        <v>0</v>
      </c>
      <c r="AV119" s="25">
        <f t="shared" si="53"/>
        <v>0</v>
      </c>
      <c r="AW119" s="25">
        <f t="shared" si="54"/>
        <v>0</v>
      </c>
      <c r="AX119" s="25">
        <f t="shared" si="55"/>
        <v>0</v>
      </c>
      <c r="AY119" s="25">
        <f t="shared" si="56"/>
        <v>0</v>
      </c>
      <c r="AZ119" s="25">
        <f t="shared" si="57"/>
        <v>0</v>
      </c>
      <c r="BA119" s="25">
        <f t="shared" si="58"/>
        <v>0</v>
      </c>
      <c r="BB119" s="25">
        <f t="shared" si="59"/>
        <v>0</v>
      </c>
      <c r="BC119" s="25">
        <f t="shared" si="60"/>
        <v>0</v>
      </c>
      <c r="BD119" s="25">
        <f t="shared" si="61"/>
        <v>0</v>
      </c>
      <c r="BE119" s="25">
        <f t="shared" si="62"/>
        <v>0</v>
      </c>
      <c r="BF119" s="25">
        <f t="shared" si="63"/>
        <v>0</v>
      </c>
    </row>
    <row r="120" spans="1:58" s="25" customFormat="1" ht="15" customHeight="1" x14ac:dyDescent="0.25">
      <c r="A120" s="38" t="s">
        <v>196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64"/>
        <v>0</v>
      </c>
      <c r="K120" s="21"/>
      <c r="L120" s="23"/>
      <c r="M120" s="23"/>
      <c r="N120" s="43"/>
      <c r="O120" s="43"/>
      <c r="P120" s="23"/>
      <c r="Q120" s="23"/>
      <c r="R120" s="23"/>
      <c r="S120" s="23">
        <v>30</v>
      </c>
      <c r="T120" s="23"/>
      <c r="U120" s="23">
        <v>0</v>
      </c>
      <c r="V120" s="23"/>
      <c r="W120" s="23">
        <v>5</v>
      </c>
      <c r="X120" s="43">
        <v>5</v>
      </c>
      <c r="Y120" s="23"/>
      <c r="Z120" s="23">
        <v>15</v>
      </c>
      <c r="AA120" s="23">
        <v>123</v>
      </c>
      <c r="AB120" s="24">
        <f t="shared" si="65"/>
        <v>0</v>
      </c>
      <c r="AC120" s="24">
        <f t="shared" si="35"/>
        <v>0</v>
      </c>
      <c r="AD120" s="25">
        <v>8.25</v>
      </c>
      <c r="AE120" s="25">
        <f t="shared" si="36"/>
        <v>0</v>
      </c>
      <c r="AF120" s="25">
        <f t="shared" si="37"/>
        <v>0</v>
      </c>
      <c r="AG120" s="25">
        <f t="shared" si="38"/>
        <v>0</v>
      </c>
      <c r="AH120" s="25">
        <f t="shared" si="39"/>
        <v>0</v>
      </c>
      <c r="AI120" s="25">
        <f t="shared" si="40"/>
        <v>577.5</v>
      </c>
      <c r="AJ120" s="25">
        <f t="shared" si="41"/>
        <v>0</v>
      </c>
      <c r="AK120" s="25">
        <f t="shared" si="42"/>
        <v>0</v>
      </c>
      <c r="AL120" s="25">
        <f t="shared" si="43"/>
        <v>280.5</v>
      </c>
      <c r="AM120" s="25">
        <f t="shared" si="44"/>
        <v>0</v>
      </c>
      <c r="AN120" s="25">
        <f t="shared" si="45"/>
        <v>0</v>
      </c>
      <c r="AO120" s="25">
        <f t="shared" si="46"/>
        <v>0</v>
      </c>
      <c r="AP120" s="25">
        <f t="shared" si="47"/>
        <v>0</v>
      </c>
      <c r="AQ120" s="25">
        <f t="shared" si="48"/>
        <v>0</v>
      </c>
      <c r="AR120" s="25">
        <f t="shared" si="49"/>
        <v>0</v>
      </c>
      <c r="AS120" s="25">
        <f t="shared" si="50"/>
        <v>0</v>
      </c>
      <c r="AT120" s="25">
        <f t="shared" si="51"/>
        <v>0</v>
      </c>
      <c r="AU120" s="25">
        <f t="shared" si="52"/>
        <v>0</v>
      </c>
      <c r="AV120" s="25">
        <f t="shared" si="53"/>
        <v>247.5</v>
      </c>
      <c r="AW120" s="25">
        <f t="shared" si="54"/>
        <v>0</v>
      </c>
      <c r="AX120" s="25">
        <f t="shared" si="55"/>
        <v>0</v>
      </c>
      <c r="AY120" s="25">
        <f t="shared" si="56"/>
        <v>0</v>
      </c>
      <c r="AZ120" s="25">
        <f t="shared" si="57"/>
        <v>41.25</v>
      </c>
      <c r="BA120" s="25">
        <f t="shared" si="58"/>
        <v>41.25</v>
      </c>
      <c r="BB120" s="25">
        <f t="shared" si="59"/>
        <v>0</v>
      </c>
      <c r="BC120" s="25">
        <f t="shared" si="60"/>
        <v>123.75</v>
      </c>
      <c r="BD120" s="25">
        <f t="shared" si="61"/>
        <v>1014.75</v>
      </c>
      <c r="BE120" s="25">
        <f t="shared" si="62"/>
        <v>0</v>
      </c>
      <c r="BF120" s="25">
        <f t="shared" si="63"/>
        <v>0</v>
      </c>
    </row>
    <row r="121" spans="1:58" s="25" customFormat="1" ht="15" customHeight="1" x14ac:dyDescent="0.25">
      <c r="A121" s="38" t="s">
        <v>197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64"/>
        <v>0</v>
      </c>
      <c r="K121" s="21"/>
      <c r="L121" s="23"/>
      <c r="M121" s="23"/>
      <c r="N121" s="43"/>
      <c r="O121" s="43"/>
      <c r="P121" s="23"/>
      <c r="Q121" s="23"/>
      <c r="R121" s="23"/>
      <c r="S121" s="23">
        <v>0</v>
      </c>
      <c r="T121" s="23"/>
      <c r="U121" s="23"/>
      <c r="V121" s="23"/>
      <c r="W121" s="23"/>
      <c r="X121" s="43"/>
      <c r="Y121" s="23"/>
      <c r="Z121" s="23"/>
      <c r="AA121" s="23"/>
      <c r="AB121" s="24">
        <f t="shared" si="65"/>
        <v>0</v>
      </c>
      <c r="AC121" s="24">
        <f t="shared" si="35"/>
        <v>0</v>
      </c>
      <c r="AD121" s="25">
        <v>8.25</v>
      </c>
      <c r="AE121" s="25">
        <f t="shared" si="36"/>
        <v>0</v>
      </c>
      <c r="AF121" s="25">
        <f t="shared" si="37"/>
        <v>0</v>
      </c>
      <c r="AG121" s="25">
        <f t="shared" si="38"/>
        <v>0</v>
      </c>
      <c r="AH121" s="25">
        <f t="shared" si="39"/>
        <v>0</v>
      </c>
      <c r="AI121" s="25">
        <f t="shared" si="40"/>
        <v>16.5</v>
      </c>
      <c r="AJ121" s="25">
        <f t="shared" si="41"/>
        <v>0</v>
      </c>
      <c r="AK121" s="25">
        <f t="shared" si="42"/>
        <v>0</v>
      </c>
      <c r="AL121" s="25">
        <f t="shared" si="43"/>
        <v>8.25</v>
      </c>
      <c r="AM121" s="25">
        <f t="shared" si="44"/>
        <v>0</v>
      </c>
      <c r="AN121" s="25">
        <f t="shared" si="45"/>
        <v>0</v>
      </c>
      <c r="AO121" s="25">
        <f t="shared" si="46"/>
        <v>0</v>
      </c>
      <c r="AP121" s="25">
        <f t="shared" si="47"/>
        <v>0</v>
      </c>
      <c r="AQ121" s="25">
        <f t="shared" si="48"/>
        <v>0</v>
      </c>
      <c r="AR121" s="25">
        <f t="shared" si="49"/>
        <v>0</v>
      </c>
      <c r="AS121" s="25">
        <f t="shared" si="50"/>
        <v>0</v>
      </c>
      <c r="AT121" s="25">
        <f t="shared" si="51"/>
        <v>0</v>
      </c>
      <c r="AU121" s="25">
        <f t="shared" si="52"/>
        <v>0</v>
      </c>
      <c r="AV121" s="25">
        <f t="shared" si="53"/>
        <v>0</v>
      </c>
      <c r="AW121" s="25">
        <f t="shared" si="54"/>
        <v>0</v>
      </c>
      <c r="AX121" s="25">
        <f t="shared" si="55"/>
        <v>0</v>
      </c>
      <c r="AY121" s="25">
        <f t="shared" si="56"/>
        <v>0</v>
      </c>
      <c r="AZ121" s="25">
        <f t="shared" si="57"/>
        <v>0</v>
      </c>
      <c r="BA121" s="25">
        <f t="shared" si="58"/>
        <v>0</v>
      </c>
      <c r="BB121" s="25">
        <f t="shared" si="59"/>
        <v>0</v>
      </c>
      <c r="BC121" s="25">
        <f t="shared" si="60"/>
        <v>0</v>
      </c>
      <c r="BD121" s="25">
        <f t="shared" si="61"/>
        <v>0</v>
      </c>
      <c r="BE121" s="25">
        <f t="shared" si="62"/>
        <v>0</v>
      </c>
      <c r="BF121" s="25">
        <f t="shared" si="63"/>
        <v>0</v>
      </c>
    </row>
    <row r="122" spans="1:58" s="25" customFormat="1" ht="15" customHeight="1" x14ac:dyDescent="0.25">
      <c r="A122" s="38" t="s">
        <v>198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64"/>
        <v>380</v>
      </c>
      <c r="K122" s="21"/>
      <c r="L122" s="23"/>
      <c r="M122" s="23"/>
      <c r="N122" s="43"/>
      <c r="O122" s="43"/>
      <c r="P122" s="23">
        <v>137</v>
      </c>
      <c r="Q122" s="23"/>
      <c r="R122" s="23">
        <v>336</v>
      </c>
      <c r="S122" s="23">
        <v>199</v>
      </c>
      <c r="T122" s="23">
        <v>7</v>
      </c>
      <c r="U122" s="23">
        <v>0</v>
      </c>
      <c r="V122" s="23">
        <v>211</v>
      </c>
      <c r="W122" s="23">
        <v>110</v>
      </c>
      <c r="X122" s="43">
        <v>44</v>
      </c>
      <c r="Y122" s="23"/>
      <c r="Z122" s="23">
        <v>9</v>
      </c>
      <c r="AA122" s="23">
        <v>21</v>
      </c>
      <c r="AB122" s="24">
        <f t="shared" si="65"/>
        <v>473</v>
      </c>
      <c r="AC122" s="24">
        <f t="shared" si="35"/>
        <v>-93</v>
      </c>
      <c r="AD122" s="25">
        <v>11</v>
      </c>
      <c r="AE122" s="25">
        <f t="shared" si="36"/>
        <v>4180</v>
      </c>
      <c r="AF122" s="25">
        <f t="shared" si="37"/>
        <v>0</v>
      </c>
      <c r="AG122" s="25">
        <f t="shared" si="38"/>
        <v>0</v>
      </c>
      <c r="AH122" s="25">
        <f t="shared" si="39"/>
        <v>0</v>
      </c>
      <c r="AI122" s="25">
        <f t="shared" si="40"/>
        <v>6116</v>
      </c>
      <c r="AJ122" s="25">
        <f t="shared" si="41"/>
        <v>0</v>
      </c>
      <c r="AK122" s="25">
        <f t="shared" si="42"/>
        <v>528</v>
      </c>
      <c r="AL122" s="25">
        <f t="shared" si="43"/>
        <v>2321</v>
      </c>
      <c r="AM122" s="25">
        <f t="shared" si="44"/>
        <v>4180</v>
      </c>
      <c r="AN122" s="25">
        <f t="shared" si="45"/>
        <v>0</v>
      </c>
      <c r="AO122" s="25">
        <f t="shared" si="46"/>
        <v>0</v>
      </c>
      <c r="AP122" s="25">
        <f t="shared" si="47"/>
        <v>0</v>
      </c>
      <c r="AQ122" s="25">
        <f t="shared" si="48"/>
        <v>0</v>
      </c>
      <c r="AR122" s="25">
        <f t="shared" si="49"/>
        <v>0</v>
      </c>
      <c r="AS122" s="25">
        <f t="shared" si="50"/>
        <v>1507</v>
      </c>
      <c r="AT122" s="25">
        <f t="shared" si="51"/>
        <v>0</v>
      </c>
      <c r="AU122" s="25">
        <f t="shared" si="52"/>
        <v>3696</v>
      </c>
      <c r="AV122" s="25">
        <f t="shared" si="53"/>
        <v>2189</v>
      </c>
      <c r="AW122" s="25">
        <f t="shared" si="54"/>
        <v>77</v>
      </c>
      <c r="AX122" s="25">
        <f t="shared" si="55"/>
        <v>0</v>
      </c>
      <c r="AY122" s="25">
        <f t="shared" si="56"/>
        <v>2321</v>
      </c>
      <c r="AZ122" s="25">
        <f t="shared" si="57"/>
        <v>1210</v>
      </c>
      <c r="BA122" s="25">
        <f t="shared" si="58"/>
        <v>484</v>
      </c>
      <c r="BB122" s="25">
        <f t="shared" si="59"/>
        <v>0</v>
      </c>
      <c r="BC122" s="25">
        <f t="shared" si="60"/>
        <v>99</v>
      </c>
      <c r="BD122" s="25">
        <f t="shared" si="61"/>
        <v>231</v>
      </c>
      <c r="BE122" s="25">
        <f t="shared" si="62"/>
        <v>5203</v>
      </c>
      <c r="BF122" s="25">
        <f t="shared" si="63"/>
        <v>-1023</v>
      </c>
    </row>
    <row r="123" spans="1:58" s="25" customFormat="1" ht="15" customHeight="1" x14ac:dyDescent="0.25">
      <c r="A123" s="38" t="s">
        <v>199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64"/>
        <v>0</v>
      </c>
      <c r="K123" s="21"/>
      <c r="L123" s="23"/>
      <c r="M123" s="23"/>
      <c r="N123" s="43"/>
      <c r="O123" s="43"/>
      <c r="P123" s="23"/>
      <c r="Q123" s="23"/>
      <c r="R123" s="23"/>
      <c r="S123" s="23">
        <v>26</v>
      </c>
      <c r="T123" s="23"/>
      <c r="U123" s="23">
        <v>0</v>
      </c>
      <c r="V123" s="23"/>
      <c r="W123" s="23"/>
      <c r="X123" s="43"/>
      <c r="Y123" s="23"/>
      <c r="Z123" s="23">
        <v>26</v>
      </c>
      <c r="AA123" s="23">
        <v>26</v>
      </c>
      <c r="AB123" s="24">
        <f t="shared" si="65"/>
        <v>0</v>
      </c>
      <c r="AC123" s="24">
        <f t="shared" si="35"/>
        <v>0</v>
      </c>
      <c r="AD123" s="25">
        <v>11</v>
      </c>
      <c r="AE123" s="25">
        <f t="shared" si="36"/>
        <v>0</v>
      </c>
      <c r="AF123" s="25">
        <f t="shared" si="37"/>
        <v>0</v>
      </c>
      <c r="AG123" s="25">
        <f t="shared" si="38"/>
        <v>0</v>
      </c>
      <c r="AH123" s="25">
        <f t="shared" si="39"/>
        <v>0</v>
      </c>
      <c r="AI123" s="25">
        <f t="shared" si="40"/>
        <v>286</v>
      </c>
      <c r="AJ123" s="25">
        <f t="shared" si="41"/>
        <v>0</v>
      </c>
      <c r="AK123" s="25">
        <f t="shared" si="42"/>
        <v>0</v>
      </c>
      <c r="AL123" s="25">
        <f t="shared" si="43"/>
        <v>396</v>
      </c>
      <c r="AM123" s="25">
        <f t="shared" si="44"/>
        <v>0</v>
      </c>
      <c r="AN123" s="25">
        <f t="shared" si="45"/>
        <v>0</v>
      </c>
      <c r="AO123" s="25">
        <f t="shared" si="46"/>
        <v>0</v>
      </c>
      <c r="AP123" s="25">
        <f t="shared" si="47"/>
        <v>0</v>
      </c>
      <c r="AQ123" s="25">
        <f t="shared" si="48"/>
        <v>0</v>
      </c>
      <c r="AR123" s="25">
        <f t="shared" si="49"/>
        <v>0</v>
      </c>
      <c r="AS123" s="25">
        <f t="shared" si="50"/>
        <v>0</v>
      </c>
      <c r="AT123" s="25">
        <f t="shared" si="51"/>
        <v>0</v>
      </c>
      <c r="AU123" s="25">
        <f t="shared" si="52"/>
        <v>0</v>
      </c>
      <c r="AV123" s="25">
        <f t="shared" si="53"/>
        <v>286</v>
      </c>
      <c r="AW123" s="25">
        <f t="shared" si="54"/>
        <v>0</v>
      </c>
      <c r="AX123" s="25">
        <f t="shared" si="55"/>
        <v>0</v>
      </c>
      <c r="AY123" s="25">
        <f t="shared" si="56"/>
        <v>0</v>
      </c>
      <c r="AZ123" s="25">
        <f t="shared" si="57"/>
        <v>0</v>
      </c>
      <c r="BA123" s="25">
        <f t="shared" si="58"/>
        <v>0</v>
      </c>
      <c r="BB123" s="25">
        <f t="shared" si="59"/>
        <v>0</v>
      </c>
      <c r="BC123" s="25">
        <f t="shared" si="60"/>
        <v>286</v>
      </c>
      <c r="BD123" s="25">
        <f t="shared" si="61"/>
        <v>286</v>
      </c>
      <c r="BE123" s="25">
        <f t="shared" si="62"/>
        <v>0</v>
      </c>
      <c r="BF123" s="25">
        <f t="shared" si="63"/>
        <v>0</v>
      </c>
    </row>
    <row r="124" spans="1:58" s="25" customFormat="1" ht="15" customHeight="1" x14ac:dyDescent="0.25">
      <c r="A124" s="38" t="s">
        <v>200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64"/>
        <v>47</v>
      </c>
      <c r="K124" s="21"/>
      <c r="L124" s="23"/>
      <c r="M124" s="23"/>
      <c r="N124" s="43"/>
      <c r="O124" s="43"/>
      <c r="P124" s="23"/>
      <c r="Q124" s="23"/>
      <c r="R124" s="23"/>
      <c r="S124" s="23">
        <v>48</v>
      </c>
      <c r="T124" s="23"/>
      <c r="U124" s="23">
        <v>8</v>
      </c>
      <c r="V124" s="23"/>
      <c r="W124" s="23"/>
      <c r="X124" s="43"/>
      <c r="Y124" s="23"/>
      <c r="Z124" s="23"/>
      <c r="AA124" s="23"/>
      <c r="AB124" s="24">
        <f t="shared" si="65"/>
        <v>0</v>
      </c>
      <c r="AC124" s="24">
        <f t="shared" si="35"/>
        <v>47</v>
      </c>
      <c r="AD124" s="25">
        <v>12.1</v>
      </c>
      <c r="AE124" s="25">
        <f t="shared" si="36"/>
        <v>568.69999999999993</v>
      </c>
      <c r="AF124" s="25">
        <f t="shared" si="37"/>
        <v>0</v>
      </c>
      <c r="AG124" s="25">
        <f t="shared" si="38"/>
        <v>0</v>
      </c>
      <c r="AH124" s="25">
        <f t="shared" si="39"/>
        <v>0</v>
      </c>
      <c r="AI124" s="25">
        <f t="shared" si="40"/>
        <v>108.89999999999999</v>
      </c>
      <c r="AJ124" s="25">
        <f t="shared" si="41"/>
        <v>0</v>
      </c>
      <c r="AK124" s="25">
        <f t="shared" si="42"/>
        <v>0</v>
      </c>
      <c r="AL124" s="25">
        <f t="shared" si="43"/>
        <v>0</v>
      </c>
      <c r="AM124" s="25">
        <f t="shared" si="44"/>
        <v>568.69999999999993</v>
      </c>
      <c r="AN124" s="25">
        <f t="shared" si="45"/>
        <v>0</v>
      </c>
      <c r="AO124" s="25">
        <f t="shared" si="46"/>
        <v>0</v>
      </c>
      <c r="AP124" s="25">
        <f t="shared" si="47"/>
        <v>0</v>
      </c>
      <c r="AQ124" s="25">
        <f t="shared" si="48"/>
        <v>0</v>
      </c>
      <c r="AR124" s="25">
        <f t="shared" si="49"/>
        <v>0</v>
      </c>
      <c r="AS124" s="25">
        <f t="shared" si="50"/>
        <v>0</v>
      </c>
      <c r="AT124" s="25">
        <f t="shared" si="51"/>
        <v>0</v>
      </c>
      <c r="AU124" s="25">
        <f t="shared" si="52"/>
        <v>0</v>
      </c>
      <c r="AV124" s="25">
        <f t="shared" si="53"/>
        <v>580.79999999999995</v>
      </c>
      <c r="AW124" s="25">
        <f t="shared" si="54"/>
        <v>0</v>
      </c>
      <c r="AX124" s="25">
        <f t="shared" si="55"/>
        <v>96.8</v>
      </c>
      <c r="AY124" s="25">
        <f t="shared" si="56"/>
        <v>0</v>
      </c>
      <c r="AZ124" s="25">
        <f t="shared" si="57"/>
        <v>0</v>
      </c>
      <c r="BA124" s="25">
        <f t="shared" si="58"/>
        <v>0</v>
      </c>
      <c r="BB124" s="25">
        <f t="shared" si="59"/>
        <v>0</v>
      </c>
      <c r="BC124" s="25">
        <f t="shared" si="60"/>
        <v>0</v>
      </c>
      <c r="BD124" s="25">
        <f t="shared" si="61"/>
        <v>0</v>
      </c>
      <c r="BE124" s="25">
        <f t="shared" si="62"/>
        <v>0</v>
      </c>
      <c r="BF124" s="25">
        <f t="shared" si="63"/>
        <v>568.69999999999993</v>
      </c>
    </row>
    <row r="125" spans="1:58" s="25" customFormat="1" ht="15" customHeight="1" x14ac:dyDescent="0.25">
      <c r="A125" s="38" t="s">
        <v>201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64"/>
        <v>219</v>
      </c>
      <c r="K125" s="21"/>
      <c r="L125" s="23"/>
      <c r="M125" s="23"/>
      <c r="N125" s="43"/>
      <c r="O125" s="43"/>
      <c r="P125" s="23"/>
      <c r="Q125" s="23"/>
      <c r="R125" s="23"/>
      <c r="S125" s="23">
        <v>99</v>
      </c>
      <c r="T125" s="23"/>
      <c r="U125" s="23">
        <v>20</v>
      </c>
      <c r="V125" s="23">
        <v>101</v>
      </c>
      <c r="W125" s="23">
        <v>83</v>
      </c>
      <c r="X125" s="43">
        <v>1</v>
      </c>
      <c r="Y125" s="23">
        <v>18</v>
      </c>
      <c r="Z125" s="23">
        <v>0</v>
      </c>
      <c r="AA125" s="23">
        <v>15</v>
      </c>
      <c r="AB125" s="24">
        <f t="shared" si="65"/>
        <v>0</v>
      </c>
      <c r="AC125" s="24">
        <f t="shared" si="35"/>
        <v>219</v>
      </c>
      <c r="AD125" s="25">
        <v>13.75</v>
      </c>
      <c r="AE125" s="25">
        <f t="shared" si="36"/>
        <v>3011.25</v>
      </c>
      <c r="AF125" s="25">
        <f t="shared" si="37"/>
        <v>0</v>
      </c>
      <c r="AG125" s="25">
        <f t="shared" si="38"/>
        <v>0</v>
      </c>
      <c r="AH125" s="25">
        <f t="shared" si="39"/>
        <v>0</v>
      </c>
      <c r="AI125" s="25">
        <f t="shared" si="40"/>
        <v>192.5</v>
      </c>
      <c r="AJ125" s="25">
        <f t="shared" si="41"/>
        <v>0</v>
      </c>
      <c r="AK125" s="25">
        <f t="shared" si="42"/>
        <v>68.75</v>
      </c>
      <c r="AL125" s="25">
        <f t="shared" si="43"/>
        <v>302.5</v>
      </c>
      <c r="AM125" s="25">
        <f t="shared" si="44"/>
        <v>3011.25</v>
      </c>
      <c r="AN125" s="25">
        <f t="shared" si="45"/>
        <v>0</v>
      </c>
      <c r="AO125" s="25">
        <f t="shared" si="46"/>
        <v>0</v>
      </c>
      <c r="AP125" s="25">
        <f t="shared" si="47"/>
        <v>0</v>
      </c>
      <c r="AQ125" s="25">
        <f t="shared" si="48"/>
        <v>0</v>
      </c>
      <c r="AR125" s="25">
        <f t="shared" si="49"/>
        <v>0</v>
      </c>
      <c r="AS125" s="25">
        <f t="shared" si="50"/>
        <v>0</v>
      </c>
      <c r="AT125" s="25">
        <f t="shared" si="51"/>
        <v>0</v>
      </c>
      <c r="AU125" s="25">
        <f t="shared" si="52"/>
        <v>0</v>
      </c>
      <c r="AV125" s="25">
        <f t="shared" si="53"/>
        <v>1361.25</v>
      </c>
      <c r="AW125" s="25">
        <f t="shared" si="54"/>
        <v>0</v>
      </c>
      <c r="AX125" s="25">
        <f t="shared" si="55"/>
        <v>275</v>
      </c>
      <c r="AY125" s="25">
        <f t="shared" si="56"/>
        <v>1388.75</v>
      </c>
      <c r="AZ125" s="25">
        <f t="shared" si="57"/>
        <v>1141.25</v>
      </c>
      <c r="BA125" s="25">
        <f t="shared" si="58"/>
        <v>13.75</v>
      </c>
      <c r="BB125" s="25">
        <f t="shared" si="59"/>
        <v>247.5</v>
      </c>
      <c r="BC125" s="25">
        <f t="shared" si="60"/>
        <v>0</v>
      </c>
      <c r="BD125" s="25">
        <f t="shared" si="61"/>
        <v>206.25</v>
      </c>
      <c r="BE125" s="25">
        <f t="shared" si="62"/>
        <v>0</v>
      </c>
      <c r="BF125" s="25">
        <f t="shared" si="63"/>
        <v>3011.25</v>
      </c>
    </row>
    <row r="126" spans="1:58" s="25" customFormat="1" ht="15" customHeight="1" x14ac:dyDescent="0.25">
      <c r="A126" s="38" t="s">
        <v>202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>
        <v>5</v>
      </c>
      <c r="J126" s="20">
        <f t="shared" si="64"/>
        <v>1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43"/>
      <c r="Y126" s="23"/>
      <c r="Z126" s="23">
        <v>1</v>
      </c>
      <c r="AA126" s="23"/>
      <c r="AB126" s="24">
        <f t="shared" si="65"/>
        <v>0</v>
      </c>
      <c r="AC126" s="24">
        <f t="shared" si="35"/>
        <v>1</v>
      </c>
      <c r="AD126" s="25">
        <v>13.75</v>
      </c>
      <c r="AE126" s="25">
        <f t="shared" si="36"/>
        <v>0</v>
      </c>
      <c r="AF126" s="25">
        <f t="shared" si="37"/>
        <v>0</v>
      </c>
      <c r="AG126" s="25">
        <f t="shared" si="38"/>
        <v>0</v>
      </c>
      <c r="AH126" s="25">
        <f t="shared" si="39"/>
        <v>13.75</v>
      </c>
      <c r="AI126" s="25">
        <f t="shared" si="40"/>
        <v>0</v>
      </c>
      <c r="AJ126" s="25">
        <f t="shared" si="41"/>
        <v>0</v>
      </c>
      <c r="AK126" s="25">
        <f t="shared" si="42"/>
        <v>0</v>
      </c>
      <c r="AL126" s="25">
        <f t="shared" si="43"/>
        <v>68.75</v>
      </c>
      <c r="AM126" s="25">
        <f t="shared" si="44"/>
        <v>13.75</v>
      </c>
      <c r="AN126" s="25">
        <f t="shared" si="45"/>
        <v>0</v>
      </c>
      <c r="AO126" s="25">
        <f t="shared" si="46"/>
        <v>0</v>
      </c>
      <c r="AP126" s="25">
        <f t="shared" si="47"/>
        <v>0</v>
      </c>
      <c r="AQ126" s="25">
        <f t="shared" si="48"/>
        <v>0</v>
      </c>
      <c r="AR126" s="25">
        <f t="shared" si="49"/>
        <v>0</v>
      </c>
      <c r="AS126" s="25">
        <f t="shared" si="50"/>
        <v>0</v>
      </c>
      <c r="AT126" s="25">
        <f t="shared" si="51"/>
        <v>0</v>
      </c>
      <c r="AU126" s="25">
        <f t="shared" si="52"/>
        <v>0</v>
      </c>
      <c r="AV126" s="25">
        <f t="shared" si="53"/>
        <v>0</v>
      </c>
      <c r="AW126" s="25">
        <f t="shared" si="54"/>
        <v>0</v>
      </c>
      <c r="AX126" s="25">
        <f t="shared" si="55"/>
        <v>0</v>
      </c>
      <c r="AY126" s="25">
        <f t="shared" si="56"/>
        <v>0</v>
      </c>
      <c r="AZ126" s="25">
        <f t="shared" si="57"/>
        <v>0</v>
      </c>
      <c r="BA126" s="25">
        <f t="shared" si="58"/>
        <v>0</v>
      </c>
      <c r="BB126" s="25">
        <f t="shared" si="59"/>
        <v>0</v>
      </c>
      <c r="BC126" s="25">
        <f t="shared" si="60"/>
        <v>13.75</v>
      </c>
      <c r="BD126" s="25">
        <f t="shared" si="61"/>
        <v>0</v>
      </c>
      <c r="BE126" s="25">
        <f t="shared" si="62"/>
        <v>0</v>
      </c>
      <c r="BF126" s="25">
        <f t="shared" si="63"/>
        <v>13.75</v>
      </c>
    </row>
    <row r="127" spans="1:58" s="25" customFormat="1" ht="15" customHeight="1" x14ac:dyDescent="0.25">
      <c r="A127" s="38" t="s">
        <v>203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64"/>
        <v>12</v>
      </c>
      <c r="K127" s="21"/>
      <c r="L127" s="23"/>
      <c r="M127" s="23"/>
      <c r="N127" s="43"/>
      <c r="O127" s="43"/>
      <c r="P127" s="23"/>
      <c r="Q127" s="23"/>
      <c r="R127" s="23"/>
      <c r="S127" s="23">
        <v>10</v>
      </c>
      <c r="T127" s="23"/>
      <c r="U127" s="23">
        <v>12</v>
      </c>
      <c r="V127" s="23"/>
      <c r="W127" s="23"/>
      <c r="X127" s="43"/>
      <c r="Y127" s="23"/>
      <c r="Z127" s="23"/>
      <c r="AA127" s="23"/>
      <c r="AB127" s="24">
        <f t="shared" si="65"/>
        <v>0</v>
      </c>
      <c r="AC127" s="24">
        <f t="shared" si="35"/>
        <v>12</v>
      </c>
      <c r="AD127" s="25">
        <v>15.4</v>
      </c>
      <c r="AE127" s="25">
        <f t="shared" si="36"/>
        <v>184.8</v>
      </c>
      <c r="AF127" s="25">
        <f t="shared" si="37"/>
        <v>0</v>
      </c>
      <c r="AG127" s="25">
        <f t="shared" si="38"/>
        <v>0</v>
      </c>
      <c r="AH127" s="25">
        <f t="shared" si="39"/>
        <v>0</v>
      </c>
      <c r="AI127" s="25">
        <f t="shared" si="40"/>
        <v>154</v>
      </c>
      <c r="AJ127" s="25">
        <f t="shared" si="41"/>
        <v>0</v>
      </c>
      <c r="AK127" s="25">
        <f t="shared" si="42"/>
        <v>0</v>
      </c>
      <c r="AL127" s="25">
        <f t="shared" si="43"/>
        <v>0</v>
      </c>
      <c r="AM127" s="25">
        <f t="shared" si="44"/>
        <v>184.8</v>
      </c>
      <c r="AN127" s="25">
        <f t="shared" si="45"/>
        <v>0</v>
      </c>
      <c r="AO127" s="25">
        <f t="shared" si="46"/>
        <v>0</v>
      </c>
      <c r="AP127" s="25">
        <f t="shared" si="47"/>
        <v>0</v>
      </c>
      <c r="AQ127" s="25">
        <f t="shared" si="48"/>
        <v>0</v>
      </c>
      <c r="AR127" s="25">
        <f t="shared" si="49"/>
        <v>0</v>
      </c>
      <c r="AS127" s="25">
        <f t="shared" si="50"/>
        <v>0</v>
      </c>
      <c r="AT127" s="25">
        <f t="shared" si="51"/>
        <v>0</v>
      </c>
      <c r="AU127" s="25">
        <f t="shared" si="52"/>
        <v>0</v>
      </c>
      <c r="AV127" s="25">
        <f t="shared" si="53"/>
        <v>154</v>
      </c>
      <c r="AW127" s="25">
        <f t="shared" si="54"/>
        <v>0</v>
      </c>
      <c r="AX127" s="25">
        <f t="shared" si="55"/>
        <v>184.8</v>
      </c>
      <c r="AY127" s="25">
        <f t="shared" si="56"/>
        <v>0</v>
      </c>
      <c r="AZ127" s="25">
        <f t="shared" si="57"/>
        <v>0</v>
      </c>
      <c r="BA127" s="25">
        <f t="shared" si="58"/>
        <v>0</v>
      </c>
      <c r="BB127" s="25">
        <f t="shared" si="59"/>
        <v>0</v>
      </c>
      <c r="BC127" s="25">
        <f t="shared" si="60"/>
        <v>0</v>
      </c>
      <c r="BD127" s="25">
        <f t="shared" si="61"/>
        <v>0</v>
      </c>
      <c r="BE127" s="25">
        <f t="shared" si="62"/>
        <v>0</v>
      </c>
      <c r="BF127" s="25">
        <f t="shared" si="63"/>
        <v>184.8</v>
      </c>
    </row>
    <row r="128" spans="1:58" s="25" customFormat="1" ht="15" customHeight="1" x14ac:dyDescent="0.25">
      <c r="A128" s="38" t="s">
        <v>204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64"/>
        <v>45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>
        <v>0</v>
      </c>
      <c r="T128" s="23">
        <v>16</v>
      </c>
      <c r="U128" s="23">
        <v>57</v>
      </c>
      <c r="V128" s="23"/>
      <c r="W128" s="23">
        <v>13</v>
      </c>
      <c r="X128" s="43">
        <v>12</v>
      </c>
      <c r="Y128" s="23">
        <v>10</v>
      </c>
      <c r="Z128" s="23">
        <v>33</v>
      </c>
      <c r="AA128" s="23">
        <v>36</v>
      </c>
      <c r="AB128" s="24">
        <f t="shared" si="65"/>
        <v>23</v>
      </c>
      <c r="AC128" s="24">
        <f t="shared" si="35"/>
        <v>22</v>
      </c>
      <c r="AD128" s="25">
        <v>16.5</v>
      </c>
      <c r="AE128" s="25">
        <f t="shared" si="36"/>
        <v>742.5</v>
      </c>
      <c r="AF128" s="25">
        <f t="shared" si="37"/>
        <v>0</v>
      </c>
      <c r="AG128" s="25">
        <f t="shared" si="38"/>
        <v>0</v>
      </c>
      <c r="AH128" s="25">
        <f t="shared" si="39"/>
        <v>0</v>
      </c>
      <c r="AI128" s="25">
        <f t="shared" si="40"/>
        <v>66</v>
      </c>
      <c r="AJ128" s="25">
        <f t="shared" si="41"/>
        <v>0</v>
      </c>
      <c r="AK128" s="25">
        <f t="shared" si="42"/>
        <v>2145</v>
      </c>
      <c r="AL128" s="25">
        <f t="shared" si="43"/>
        <v>0</v>
      </c>
      <c r="AM128" s="25">
        <f t="shared" si="44"/>
        <v>742.5</v>
      </c>
      <c r="AN128" s="25">
        <f t="shared" si="45"/>
        <v>0</v>
      </c>
      <c r="AO128" s="25">
        <f t="shared" si="46"/>
        <v>379.5</v>
      </c>
      <c r="AP128" s="25">
        <f t="shared" si="47"/>
        <v>0</v>
      </c>
      <c r="AQ128" s="25">
        <f t="shared" si="48"/>
        <v>0</v>
      </c>
      <c r="AR128" s="25">
        <f t="shared" si="49"/>
        <v>0</v>
      </c>
      <c r="AS128" s="25">
        <f t="shared" si="50"/>
        <v>0</v>
      </c>
      <c r="AT128" s="25">
        <f t="shared" si="51"/>
        <v>0</v>
      </c>
      <c r="AU128" s="25">
        <f t="shared" si="52"/>
        <v>0</v>
      </c>
      <c r="AV128" s="25">
        <f t="shared" si="53"/>
        <v>0</v>
      </c>
      <c r="AW128" s="25">
        <f t="shared" si="54"/>
        <v>264</v>
      </c>
      <c r="AX128" s="25">
        <f t="shared" si="55"/>
        <v>940.5</v>
      </c>
      <c r="AY128" s="25">
        <f t="shared" si="56"/>
        <v>0</v>
      </c>
      <c r="AZ128" s="25">
        <f t="shared" si="57"/>
        <v>214.5</v>
      </c>
      <c r="BA128" s="25">
        <f t="shared" si="58"/>
        <v>198</v>
      </c>
      <c r="BB128" s="25">
        <f t="shared" si="59"/>
        <v>165</v>
      </c>
      <c r="BC128" s="25">
        <f t="shared" si="60"/>
        <v>544.5</v>
      </c>
      <c r="BD128" s="25">
        <f t="shared" si="61"/>
        <v>594</v>
      </c>
      <c r="BE128" s="25">
        <f t="shared" si="62"/>
        <v>379.5</v>
      </c>
      <c r="BF128" s="25">
        <f t="shared" si="63"/>
        <v>363</v>
      </c>
    </row>
    <row r="129" spans="1:58" s="25" customFormat="1" ht="15" customHeight="1" x14ac:dyDescent="0.25">
      <c r="A129" s="38" t="s">
        <v>205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64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43"/>
      <c r="Y129" s="23"/>
      <c r="Z129" s="23"/>
      <c r="AA129" s="23"/>
      <c r="AB129" s="24">
        <f t="shared" si="65"/>
        <v>0</v>
      </c>
      <c r="AC129" s="24">
        <f t="shared" si="35"/>
        <v>0</v>
      </c>
      <c r="AD129" s="25">
        <v>16.5</v>
      </c>
      <c r="AE129" s="25">
        <f t="shared" si="36"/>
        <v>0</v>
      </c>
      <c r="AF129" s="25">
        <f t="shared" si="37"/>
        <v>0</v>
      </c>
      <c r="AG129" s="25">
        <f t="shared" si="38"/>
        <v>0</v>
      </c>
      <c r="AH129" s="25">
        <f t="shared" si="39"/>
        <v>0</v>
      </c>
      <c r="AI129" s="25">
        <f t="shared" si="40"/>
        <v>0</v>
      </c>
      <c r="AJ129" s="25">
        <f t="shared" si="41"/>
        <v>0</v>
      </c>
      <c r="AK129" s="25">
        <f t="shared" si="42"/>
        <v>0</v>
      </c>
      <c r="AL129" s="25">
        <f t="shared" si="43"/>
        <v>0</v>
      </c>
      <c r="AM129" s="25">
        <f t="shared" si="44"/>
        <v>0</v>
      </c>
      <c r="AN129" s="25">
        <f t="shared" si="45"/>
        <v>0</v>
      </c>
      <c r="AO129" s="25">
        <f t="shared" si="46"/>
        <v>0</v>
      </c>
      <c r="AP129" s="25">
        <f t="shared" si="47"/>
        <v>0</v>
      </c>
      <c r="AQ129" s="25">
        <f t="shared" si="48"/>
        <v>0</v>
      </c>
      <c r="AR129" s="25">
        <f t="shared" si="49"/>
        <v>0</v>
      </c>
      <c r="AS129" s="25">
        <f t="shared" si="50"/>
        <v>0</v>
      </c>
      <c r="AT129" s="25">
        <f t="shared" si="51"/>
        <v>0</v>
      </c>
      <c r="AU129" s="25">
        <f t="shared" si="52"/>
        <v>0</v>
      </c>
      <c r="AV129" s="25">
        <f t="shared" si="53"/>
        <v>0</v>
      </c>
      <c r="AW129" s="25">
        <f t="shared" si="54"/>
        <v>0</v>
      </c>
      <c r="AX129" s="25">
        <f t="shared" si="55"/>
        <v>0</v>
      </c>
      <c r="AY129" s="25">
        <f t="shared" si="56"/>
        <v>0</v>
      </c>
      <c r="AZ129" s="25">
        <f t="shared" si="57"/>
        <v>0</v>
      </c>
      <c r="BA129" s="25">
        <f t="shared" si="58"/>
        <v>0</v>
      </c>
      <c r="BB129" s="25">
        <f t="shared" si="59"/>
        <v>0</v>
      </c>
      <c r="BC129" s="25">
        <f t="shared" si="60"/>
        <v>0</v>
      </c>
      <c r="BD129" s="25">
        <f t="shared" si="61"/>
        <v>0</v>
      </c>
      <c r="BE129" s="25">
        <f t="shared" si="62"/>
        <v>0</v>
      </c>
      <c r="BF129" s="25">
        <f t="shared" si="63"/>
        <v>0</v>
      </c>
    </row>
    <row r="130" spans="1:58" s="25" customFormat="1" ht="15" customHeight="1" x14ac:dyDescent="0.25">
      <c r="A130" s="38" t="s">
        <v>206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64"/>
        <v>16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>
        <v>16</v>
      </c>
      <c r="V130" s="23"/>
      <c r="W130" s="23">
        <v>1</v>
      </c>
      <c r="X130" s="43">
        <v>15</v>
      </c>
      <c r="Y130" s="23"/>
      <c r="Z130" s="23">
        <v>2</v>
      </c>
      <c r="AA130" s="23"/>
      <c r="AB130" s="24">
        <f t="shared" si="65"/>
        <v>0</v>
      </c>
      <c r="AC130" s="24">
        <f t="shared" si="35"/>
        <v>16</v>
      </c>
      <c r="AD130" s="25">
        <v>19.25</v>
      </c>
      <c r="AE130" s="25">
        <f t="shared" si="36"/>
        <v>308</v>
      </c>
      <c r="AF130" s="25">
        <f t="shared" si="37"/>
        <v>0</v>
      </c>
      <c r="AG130" s="25">
        <f t="shared" si="38"/>
        <v>0</v>
      </c>
      <c r="AH130" s="25">
        <f t="shared" si="39"/>
        <v>0</v>
      </c>
      <c r="AI130" s="25">
        <f t="shared" si="40"/>
        <v>38.5</v>
      </c>
      <c r="AJ130" s="25">
        <f t="shared" si="41"/>
        <v>0</v>
      </c>
      <c r="AK130" s="25">
        <f t="shared" si="42"/>
        <v>0</v>
      </c>
      <c r="AL130" s="25">
        <f t="shared" si="43"/>
        <v>0</v>
      </c>
      <c r="AM130" s="25">
        <f t="shared" si="44"/>
        <v>308</v>
      </c>
      <c r="AN130" s="25">
        <f t="shared" si="45"/>
        <v>0</v>
      </c>
      <c r="AO130" s="25">
        <f t="shared" si="46"/>
        <v>0</v>
      </c>
      <c r="AP130" s="25">
        <f t="shared" si="47"/>
        <v>0</v>
      </c>
      <c r="AQ130" s="25">
        <f t="shared" si="48"/>
        <v>0</v>
      </c>
      <c r="AR130" s="25">
        <f t="shared" si="49"/>
        <v>0</v>
      </c>
      <c r="AS130" s="25">
        <f t="shared" si="50"/>
        <v>0</v>
      </c>
      <c r="AT130" s="25">
        <f t="shared" si="51"/>
        <v>0</v>
      </c>
      <c r="AU130" s="25">
        <f t="shared" si="52"/>
        <v>0</v>
      </c>
      <c r="AV130" s="25">
        <f t="shared" si="53"/>
        <v>0</v>
      </c>
      <c r="AW130" s="25">
        <f t="shared" si="54"/>
        <v>0</v>
      </c>
      <c r="AX130" s="25">
        <f t="shared" si="55"/>
        <v>308</v>
      </c>
      <c r="AY130" s="25">
        <f t="shared" si="56"/>
        <v>0</v>
      </c>
      <c r="AZ130" s="25">
        <f t="shared" si="57"/>
        <v>19.25</v>
      </c>
      <c r="BA130" s="25">
        <f t="shared" si="58"/>
        <v>288.75</v>
      </c>
      <c r="BB130" s="25">
        <f t="shared" si="59"/>
        <v>0</v>
      </c>
      <c r="BC130" s="25">
        <f t="shared" si="60"/>
        <v>38.5</v>
      </c>
      <c r="BD130" s="25">
        <f t="shared" si="61"/>
        <v>0</v>
      </c>
      <c r="BE130" s="25">
        <f t="shared" si="62"/>
        <v>0</v>
      </c>
      <c r="BF130" s="25">
        <f t="shared" si="63"/>
        <v>308</v>
      </c>
    </row>
    <row r="131" spans="1:58" s="25" customFormat="1" ht="15" customHeight="1" x14ac:dyDescent="0.25">
      <c r="A131" s="38" t="s">
        <v>207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64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43"/>
      <c r="Y131" s="23"/>
      <c r="Z131" s="23"/>
      <c r="AA131" s="23"/>
      <c r="AB131" s="24">
        <f t="shared" si="65"/>
        <v>0</v>
      </c>
      <c r="AC131" s="24">
        <f t="shared" si="35"/>
        <v>0</v>
      </c>
      <c r="AD131" s="25">
        <v>22</v>
      </c>
      <c r="AE131" s="25">
        <f t="shared" si="36"/>
        <v>0</v>
      </c>
      <c r="AF131" s="25">
        <f t="shared" si="37"/>
        <v>0</v>
      </c>
      <c r="AG131" s="25">
        <f t="shared" si="38"/>
        <v>0</v>
      </c>
      <c r="AH131" s="25">
        <f t="shared" si="39"/>
        <v>0</v>
      </c>
      <c r="AI131" s="25">
        <f t="shared" si="40"/>
        <v>0</v>
      </c>
      <c r="AJ131" s="25">
        <f t="shared" si="41"/>
        <v>0</v>
      </c>
      <c r="AK131" s="25">
        <f t="shared" si="42"/>
        <v>0</v>
      </c>
      <c r="AL131" s="25">
        <f t="shared" si="43"/>
        <v>0</v>
      </c>
      <c r="AM131" s="25">
        <f t="shared" si="44"/>
        <v>0</v>
      </c>
      <c r="AN131" s="25">
        <f t="shared" si="45"/>
        <v>0</v>
      </c>
      <c r="AO131" s="25">
        <f t="shared" si="46"/>
        <v>0</v>
      </c>
      <c r="AP131" s="25">
        <f t="shared" si="47"/>
        <v>0</v>
      </c>
      <c r="AQ131" s="25">
        <f t="shared" si="48"/>
        <v>0</v>
      </c>
      <c r="AR131" s="25">
        <f t="shared" si="49"/>
        <v>0</v>
      </c>
      <c r="AS131" s="25">
        <f t="shared" si="50"/>
        <v>0</v>
      </c>
      <c r="AT131" s="25">
        <f t="shared" si="51"/>
        <v>0</v>
      </c>
      <c r="AU131" s="25">
        <f t="shared" si="52"/>
        <v>0</v>
      </c>
      <c r="AV131" s="25">
        <f t="shared" si="53"/>
        <v>0</v>
      </c>
      <c r="AW131" s="25">
        <f t="shared" si="54"/>
        <v>0</v>
      </c>
      <c r="AX131" s="25">
        <f t="shared" si="55"/>
        <v>0</v>
      </c>
      <c r="AY131" s="25">
        <f t="shared" si="56"/>
        <v>0</v>
      </c>
      <c r="AZ131" s="25">
        <f t="shared" si="57"/>
        <v>0</v>
      </c>
      <c r="BA131" s="25">
        <f t="shared" si="58"/>
        <v>0</v>
      </c>
      <c r="BB131" s="25">
        <f t="shared" si="59"/>
        <v>0</v>
      </c>
      <c r="BC131" s="25">
        <f t="shared" si="60"/>
        <v>0</v>
      </c>
      <c r="BD131" s="25">
        <f t="shared" si="61"/>
        <v>0</v>
      </c>
      <c r="BE131" s="25">
        <f t="shared" si="62"/>
        <v>0</v>
      </c>
      <c r="BF131" s="25">
        <f t="shared" si="63"/>
        <v>0</v>
      </c>
    </row>
    <row r="132" spans="1:58" s="25" customFormat="1" ht="15" customHeight="1" x14ac:dyDescent="0.25">
      <c r="A132" s="38" t="s">
        <v>208</v>
      </c>
      <c r="B132" s="38">
        <v>108</v>
      </c>
      <c r="C132" s="27"/>
      <c r="D132" s="27"/>
      <c r="E132" s="20">
        <v>1</v>
      </c>
      <c r="F132" s="20">
        <v>52</v>
      </c>
      <c r="G132" s="20"/>
      <c r="H132" s="20"/>
      <c r="I132" s="20"/>
      <c r="J132" s="20">
        <f t="shared" si="64"/>
        <v>109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>
        <v>114</v>
      </c>
      <c r="T132" s="23"/>
      <c r="U132" s="23">
        <v>16</v>
      </c>
      <c r="V132" s="23"/>
      <c r="W132" s="23">
        <v>4</v>
      </c>
      <c r="X132" s="43">
        <v>9</v>
      </c>
      <c r="Y132" s="23"/>
      <c r="Z132" s="23">
        <v>43</v>
      </c>
      <c r="AA132" s="23">
        <v>21</v>
      </c>
      <c r="AB132" s="24">
        <f t="shared" si="65"/>
        <v>27</v>
      </c>
      <c r="AC132" s="24">
        <f t="shared" si="35"/>
        <v>82</v>
      </c>
      <c r="AD132" s="25">
        <v>24.75</v>
      </c>
      <c r="AE132" s="25">
        <f t="shared" si="36"/>
        <v>2673</v>
      </c>
      <c r="AF132" s="25">
        <f t="shared" si="37"/>
        <v>0</v>
      </c>
      <c r="AG132" s="25">
        <f t="shared" si="38"/>
        <v>0</v>
      </c>
      <c r="AH132" s="25">
        <f t="shared" si="39"/>
        <v>24.75</v>
      </c>
      <c r="AI132" s="25">
        <f t="shared" si="40"/>
        <v>1287</v>
      </c>
      <c r="AJ132" s="25">
        <f t="shared" si="41"/>
        <v>0</v>
      </c>
      <c r="AK132" s="25">
        <f t="shared" si="42"/>
        <v>0</v>
      </c>
      <c r="AL132" s="25">
        <f t="shared" si="43"/>
        <v>0</v>
      </c>
      <c r="AM132" s="25">
        <f t="shared" si="44"/>
        <v>2697.75</v>
      </c>
      <c r="AN132" s="25">
        <f t="shared" si="45"/>
        <v>0</v>
      </c>
      <c r="AO132" s="25">
        <f t="shared" si="46"/>
        <v>0</v>
      </c>
      <c r="AP132" s="25">
        <f t="shared" si="47"/>
        <v>0</v>
      </c>
      <c r="AQ132" s="25">
        <f t="shared" si="48"/>
        <v>0</v>
      </c>
      <c r="AR132" s="25">
        <f t="shared" si="49"/>
        <v>0</v>
      </c>
      <c r="AS132" s="25">
        <f t="shared" si="50"/>
        <v>668.25</v>
      </c>
      <c r="AT132" s="25">
        <f t="shared" si="51"/>
        <v>0</v>
      </c>
      <c r="AU132" s="25">
        <f t="shared" si="52"/>
        <v>0</v>
      </c>
      <c r="AV132" s="25">
        <f t="shared" si="53"/>
        <v>2821.5</v>
      </c>
      <c r="AW132" s="25">
        <f t="shared" si="54"/>
        <v>0</v>
      </c>
      <c r="AX132" s="25">
        <f t="shared" si="55"/>
        <v>396</v>
      </c>
      <c r="AY132" s="25">
        <f t="shared" si="56"/>
        <v>0</v>
      </c>
      <c r="AZ132" s="25">
        <f t="shared" si="57"/>
        <v>99</v>
      </c>
      <c r="BA132" s="25">
        <f t="shared" si="58"/>
        <v>222.75</v>
      </c>
      <c r="BB132" s="25">
        <f t="shared" si="59"/>
        <v>0</v>
      </c>
      <c r="BC132" s="25">
        <f t="shared" si="60"/>
        <v>1064.25</v>
      </c>
      <c r="BD132" s="25">
        <f t="shared" si="61"/>
        <v>519.75</v>
      </c>
      <c r="BE132" s="25">
        <f t="shared" si="62"/>
        <v>668.25</v>
      </c>
      <c r="BF132" s="25">
        <f t="shared" si="63"/>
        <v>2029.5</v>
      </c>
    </row>
    <row r="133" spans="1:58" s="25" customFormat="1" ht="15" customHeight="1" x14ac:dyDescent="0.25">
      <c r="A133" s="38" t="s">
        <v>209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64"/>
        <v>0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/>
      <c r="V133" s="23"/>
      <c r="W133" s="23"/>
      <c r="X133" s="43"/>
      <c r="Y133" s="23"/>
      <c r="Z133" s="23"/>
      <c r="AA133" s="23"/>
      <c r="AB133" s="24">
        <f t="shared" si="65"/>
        <v>0</v>
      </c>
      <c r="AC133" s="24">
        <f t="shared" si="35"/>
        <v>0</v>
      </c>
      <c r="AD133" s="25">
        <v>24.75</v>
      </c>
      <c r="AE133" s="25">
        <f t="shared" si="36"/>
        <v>0</v>
      </c>
      <c r="AF133" s="25">
        <f t="shared" si="37"/>
        <v>0</v>
      </c>
      <c r="AG133" s="25">
        <f t="shared" si="38"/>
        <v>0</v>
      </c>
      <c r="AH133" s="25">
        <f t="shared" si="39"/>
        <v>0</v>
      </c>
      <c r="AI133" s="25">
        <f t="shared" si="40"/>
        <v>99</v>
      </c>
      <c r="AJ133" s="25">
        <f t="shared" si="41"/>
        <v>0</v>
      </c>
      <c r="AK133" s="25">
        <f t="shared" si="42"/>
        <v>0</v>
      </c>
      <c r="AL133" s="25">
        <f t="shared" si="43"/>
        <v>0</v>
      </c>
      <c r="AM133" s="25">
        <f t="shared" si="44"/>
        <v>0</v>
      </c>
      <c r="AN133" s="25">
        <f t="shared" si="45"/>
        <v>0</v>
      </c>
      <c r="AO133" s="25">
        <f t="shared" si="46"/>
        <v>0</v>
      </c>
      <c r="AP133" s="25">
        <f t="shared" si="47"/>
        <v>0</v>
      </c>
      <c r="AQ133" s="25">
        <f t="shared" si="48"/>
        <v>0</v>
      </c>
      <c r="AR133" s="25">
        <f t="shared" si="49"/>
        <v>0</v>
      </c>
      <c r="AS133" s="25">
        <f t="shared" si="50"/>
        <v>0</v>
      </c>
      <c r="AT133" s="25">
        <f t="shared" si="51"/>
        <v>0</v>
      </c>
      <c r="AU133" s="25">
        <f t="shared" si="52"/>
        <v>0</v>
      </c>
      <c r="AV133" s="25">
        <f t="shared" si="53"/>
        <v>0</v>
      </c>
      <c r="AW133" s="25">
        <f t="shared" si="54"/>
        <v>0</v>
      </c>
      <c r="AX133" s="25">
        <f t="shared" si="55"/>
        <v>0</v>
      </c>
      <c r="AY133" s="25">
        <f t="shared" si="56"/>
        <v>0</v>
      </c>
      <c r="AZ133" s="25">
        <f t="shared" si="57"/>
        <v>0</v>
      </c>
      <c r="BA133" s="25">
        <f t="shared" si="58"/>
        <v>0</v>
      </c>
      <c r="BB133" s="25">
        <f t="shared" si="59"/>
        <v>0</v>
      </c>
      <c r="BC133" s="25">
        <f t="shared" si="60"/>
        <v>0</v>
      </c>
      <c r="BD133" s="25">
        <f t="shared" si="61"/>
        <v>0</v>
      </c>
      <c r="BE133" s="25">
        <f t="shared" si="62"/>
        <v>0</v>
      </c>
      <c r="BF133" s="25">
        <f t="shared" si="63"/>
        <v>0</v>
      </c>
    </row>
    <row r="134" spans="1:58" s="25" customFormat="1" ht="15" customHeight="1" x14ac:dyDescent="0.25">
      <c r="A134" s="38" t="s">
        <v>210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si="64"/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43"/>
      <c r="Y134" s="23"/>
      <c r="Z134" s="23"/>
      <c r="AA134" s="23"/>
      <c r="AB134" s="24">
        <f t="shared" si="65"/>
        <v>0</v>
      </c>
      <c r="AC134" s="24">
        <f t="shared" ref="AC134:AC197" si="66">J134-AB134</f>
        <v>0</v>
      </c>
      <c r="AD134" s="25">
        <v>27</v>
      </c>
      <c r="AE134" s="25">
        <f t="shared" ref="AE134:AE197" si="67">B134*$AD134</f>
        <v>0</v>
      </c>
      <c r="AF134" s="25">
        <f t="shared" ref="AF134:AF197" si="68">C134*$AD134</f>
        <v>0</v>
      </c>
      <c r="AG134" s="25">
        <f t="shared" ref="AG134:AG197" si="69">D134*$AD134</f>
        <v>0</v>
      </c>
      <c r="AH134" s="25">
        <f t="shared" ref="AH134:AH197" si="70">E134*$AD134</f>
        <v>0</v>
      </c>
      <c r="AI134" s="25">
        <f t="shared" ref="AI134:AI197" si="71">F134*$AD134</f>
        <v>0</v>
      </c>
      <c r="AJ134" s="25">
        <f t="shared" ref="AJ134:AJ197" si="72">G134*$AD134</f>
        <v>0</v>
      </c>
      <c r="AK134" s="25">
        <f t="shared" ref="AK134:AK197" si="73">H134*$AD134</f>
        <v>0</v>
      </c>
      <c r="AL134" s="25">
        <f t="shared" ref="AL134:AL197" si="74">I134*$AD134</f>
        <v>0</v>
      </c>
      <c r="AM134" s="25">
        <f t="shared" ref="AM134:AM197" si="75">J134*$AD134</f>
        <v>0</v>
      </c>
      <c r="AN134" s="25">
        <f t="shared" ref="AN134:AN197" si="76">K134*$AD134</f>
        <v>0</v>
      </c>
      <c r="AO134" s="25">
        <f t="shared" ref="AO134:AO197" si="77">L134*$AD134</f>
        <v>0</v>
      </c>
      <c r="AP134" s="25">
        <f t="shared" ref="AP134:AP197" si="78">M134*$AD134</f>
        <v>0</v>
      </c>
      <c r="AQ134" s="25">
        <f t="shared" ref="AQ134:AQ197" si="79">N134*$AD134</f>
        <v>0</v>
      </c>
      <c r="AR134" s="25">
        <f t="shared" ref="AR134:AR197" si="80">O134*$AD134</f>
        <v>0</v>
      </c>
      <c r="AS134" s="25">
        <f t="shared" ref="AS134:AS197" si="81">P134*$AD134</f>
        <v>0</v>
      </c>
      <c r="AT134" s="25">
        <f t="shared" ref="AT134:AT197" si="82">Q134*$AD134</f>
        <v>0</v>
      </c>
      <c r="AU134" s="25">
        <f t="shared" ref="AU134:AU197" si="83">R134*$AD134</f>
        <v>0</v>
      </c>
      <c r="AV134" s="25">
        <f t="shared" ref="AV134:AV197" si="84">S134*$AD134</f>
        <v>0</v>
      </c>
      <c r="AW134" s="25">
        <f t="shared" ref="AW134:AW197" si="85">T134*$AD134</f>
        <v>0</v>
      </c>
      <c r="AX134" s="25">
        <f t="shared" ref="AX134:AX197" si="86">U134*$AD134</f>
        <v>0</v>
      </c>
      <c r="AY134" s="25">
        <f t="shared" ref="AY134:AY197" si="87">V134*$AD134</f>
        <v>0</v>
      </c>
      <c r="AZ134" s="25">
        <f t="shared" ref="AZ134:AZ197" si="88">W134*$AD134</f>
        <v>0</v>
      </c>
      <c r="BA134" s="25">
        <f t="shared" ref="BA134:BA197" si="89">X134*$AD134</f>
        <v>0</v>
      </c>
      <c r="BB134" s="25">
        <f t="shared" ref="BB134:BB197" si="90">Y134*$AD134</f>
        <v>0</v>
      </c>
      <c r="BC134" s="25">
        <f t="shared" ref="BC134:BC197" si="91">Z134*$AD134</f>
        <v>0</v>
      </c>
      <c r="BD134" s="25">
        <f t="shared" ref="BD134:BD197" si="92">AA134*$AD134</f>
        <v>0</v>
      </c>
      <c r="BE134" s="25">
        <f t="shared" ref="BE134:BE197" si="93">AB134*$AD134</f>
        <v>0</v>
      </c>
      <c r="BF134" s="25">
        <f t="shared" ref="BF134:BF197" si="94">AC134*$AD134</f>
        <v>0</v>
      </c>
    </row>
    <row r="135" spans="1:58" s="25" customFormat="1" ht="15" customHeight="1" x14ac:dyDescent="0.25">
      <c r="A135" s="38" t="s">
        <v>211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4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43"/>
      <c r="Y135" s="23"/>
      <c r="Z135" s="23"/>
      <c r="AA135" s="23"/>
      <c r="AB135" s="24">
        <f t="shared" si="65"/>
        <v>0</v>
      </c>
      <c r="AC135" s="24">
        <f t="shared" si="66"/>
        <v>2</v>
      </c>
      <c r="AD135" s="25">
        <v>67.5</v>
      </c>
      <c r="AE135" s="25">
        <f t="shared" si="67"/>
        <v>135</v>
      </c>
      <c r="AF135" s="25">
        <f t="shared" si="68"/>
        <v>0</v>
      </c>
      <c r="AG135" s="25">
        <f t="shared" si="69"/>
        <v>0</v>
      </c>
      <c r="AH135" s="25">
        <f t="shared" si="70"/>
        <v>0</v>
      </c>
      <c r="AI135" s="25">
        <f t="shared" si="71"/>
        <v>0</v>
      </c>
      <c r="AJ135" s="25">
        <f t="shared" si="72"/>
        <v>0</v>
      </c>
      <c r="AK135" s="25">
        <f t="shared" si="73"/>
        <v>0</v>
      </c>
      <c r="AL135" s="25">
        <f t="shared" si="74"/>
        <v>0</v>
      </c>
      <c r="AM135" s="25">
        <f t="shared" si="75"/>
        <v>135</v>
      </c>
      <c r="AN135" s="25">
        <f t="shared" si="76"/>
        <v>0</v>
      </c>
      <c r="AO135" s="25">
        <f t="shared" si="77"/>
        <v>0</v>
      </c>
      <c r="AP135" s="25">
        <f t="shared" si="78"/>
        <v>0</v>
      </c>
      <c r="AQ135" s="25">
        <f t="shared" si="79"/>
        <v>0</v>
      </c>
      <c r="AR135" s="25">
        <f t="shared" si="80"/>
        <v>0</v>
      </c>
      <c r="AS135" s="25">
        <f t="shared" si="81"/>
        <v>0</v>
      </c>
      <c r="AT135" s="25">
        <f t="shared" si="82"/>
        <v>0</v>
      </c>
      <c r="AU135" s="25">
        <f t="shared" si="83"/>
        <v>0</v>
      </c>
      <c r="AV135" s="25">
        <f t="shared" si="84"/>
        <v>0</v>
      </c>
      <c r="AW135" s="25">
        <f t="shared" si="85"/>
        <v>0</v>
      </c>
      <c r="AX135" s="25">
        <f t="shared" si="86"/>
        <v>0</v>
      </c>
      <c r="AY135" s="25">
        <f t="shared" si="87"/>
        <v>0</v>
      </c>
      <c r="AZ135" s="25">
        <f t="shared" si="88"/>
        <v>0</v>
      </c>
      <c r="BA135" s="25">
        <f t="shared" si="89"/>
        <v>0</v>
      </c>
      <c r="BB135" s="25">
        <f t="shared" si="90"/>
        <v>0</v>
      </c>
      <c r="BC135" s="25">
        <f t="shared" si="91"/>
        <v>0</v>
      </c>
      <c r="BD135" s="25">
        <f t="shared" si="92"/>
        <v>0</v>
      </c>
      <c r="BE135" s="25">
        <f t="shared" si="93"/>
        <v>0</v>
      </c>
      <c r="BF135" s="25">
        <f t="shared" si="94"/>
        <v>135</v>
      </c>
    </row>
    <row r="136" spans="1:58" s="25" customFormat="1" ht="15" customHeight="1" x14ac:dyDescent="0.25">
      <c r="A136" s="38" t="s">
        <v>212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4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43"/>
      <c r="Y136" s="23"/>
      <c r="Z136" s="23"/>
      <c r="AA136" s="23"/>
      <c r="AB136" s="24">
        <f t="shared" si="65"/>
        <v>0</v>
      </c>
      <c r="AC136" s="24">
        <f t="shared" si="66"/>
        <v>4</v>
      </c>
      <c r="AD136" s="25">
        <v>135</v>
      </c>
      <c r="AE136" s="25">
        <f t="shared" si="67"/>
        <v>540</v>
      </c>
      <c r="AF136" s="25">
        <f t="shared" si="68"/>
        <v>0</v>
      </c>
      <c r="AG136" s="25">
        <f t="shared" si="69"/>
        <v>0</v>
      </c>
      <c r="AH136" s="25">
        <f t="shared" si="70"/>
        <v>0</v>
      </c>
      <c r="AI136" s="25">
        <f t="shared" si="71"/>
        <v>0</v>
      </c>
      <c r="AJ136" s="25">
        <f t="shared" si="72"/>
        <v>0</v>
      </c>
      <c r="AK136" s="25">
        <f t="shared" si="73"/>
        <v>0</v>
      </c>
      <c r="AL136" s="25">
        <f t="shared" si="74"/>
        <v>0</v>
      </c>
      <c r="AM136" s="25">
        <f t="shared" si="75"/>
        <v>540</v>
      </c>
      <c r="AN136" s="25">
        <f t="shared" si="76"/>
        <v>0</v>
      </c>
      <c r="AO136" s="25">
        <f t="shared" si="77"/>
        <v>0</v>
      </c>
      <c r="AP136" s="25">
        <f t="shared" si="78"/>
        <v>0</v>
      </c>
      <c r="AQ136" s="25">
        <f t="shared" si="79"/>
        <v>0</v>
      </c>
      <c r="AR136" s="25">
        <f t="shared" si="80"/>
        <v>0</v>
      </c>
      <c r="AS136" s="25">
        <f t="shared" si="81"/>
        <v>0</v>
      </c>
      <c r="AT136" s="25">
        <f t="shared" si="82"/>
        <v>0</v>
      </c>
      <c r="AU136" s="25">
        <f t="shared" si="83"/>
        <v>0</v>
      </c>
      <c r="AV136" s="25">
        <f t="shared" si="84"/>
        <v>0</v>
      </c>
      <c r="AW136" s="25">
        <f t="shared" si="85"/>
        <v>0</v>
      </c>
      <c r="AX136" s="25">
        <f t="shared" si="86"/>
        <v>0</v>
      </c>
      <c r="AY136" s="25">
        <f t="shared" si="87"/>
        <v>0</v>
      </c>
      <c r="AZ136" s="25">
        <f t="shared" si="88"/>
        <v>0</v>
      </c>
      <c r="BA136" s="25">
        <f t="shared" si="89"/>
        <v>0</v>
      </c>
      <c r="BB136" s="25">
        <f t="shared" si="90"/>
        <v>0</v>
      </c>
      <c r="BC136" s="25">
        <f t="shared" si="91"/>
        <v>0</v>
      </c>
      <c r="BD136" s="25">
        <f t="shared" si="92"/>
        <v>0</v>
      </c>
      <c r="BE136" s="25">
        <f t="shared" si="93"/>
        <v>0</v>
      </c>
      <c r="BF136" s="25">
        <f t="shared" si="94"/>
        <v>540</v>
      </c>
    </row>
    <row r="137" spans="1:58" s="25" customFormat="1" ht="15" customHeight="1" x14ac:dyDescent="0.25">
      <c r="A137" s="38" t="s">
        <v>213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4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43"/>
      <c r="Y137" s="23"/>
      <c r="Z137" s="23"/>
      <c r="AA137" s="23"/>
      <c r="AB137" s="24">
        <f t="shared" si="65"/>
        <v>0</v>
      </c>
      <c r="AC137" s="24">
        <f t="shared" si="66"/>
        <v>2</v>
      </c>
      <c r="AD137" s="25">
        <v>169.8</v>
      </c>
      <c r="AE137" s="25">
        <f t="shared" si="67"/>
        <v>339.6</v>
      </c>
      <c r="AF137" s="25">
        <f t="shared" si="68"/>
        <v>0</v>
      </c>
      <c r="AG137" s="25">
        <f t="shared" si="69"/>
        <v>0</v>
      </c>
      <c r="AH137" s="25">
        <f t="shared" si="70"/>
        <v>0</v>
      </c>
      <c r="AI137" s="25">
        <f t="shared" si="71"/>
        <v>0</v>
      </c>
      <c r="AJ137" s="25">
        <f t="shared" si="72"/>
        <v>0</v>
      </c>
      <c r="AK137" s="25">
        <f t="shared" si="73"/>
        <v>0</v>
      </c>
      <c r="AL137" s="25">
        <f t="shared" si="74"/>
        <v>0</v>
      </c>
      <c r="AM137" s="25">
        <f t="shared" si="75"/>
        <v>339.6</v>
      </c>
      <c r="AN137" s="25">
        <f t="shared" si="76"/>
        <v>0</v>
      </c>
      <c r="AO137" s="25">
        <f t="shared" si="77"/>
        <v>0</v>
      </c>
      <c r="AP137" s="25">
        <f t="shared" si="78"/>
        <v>0</v>
      </c>
      <c r="AQ137" s="25">
        <f t="shared" si="79"/>
        <v>0</v>
      </c>
      <c r="AR137" s="25">
        <f t="shared" si="80"/>
        <v>0</v>
      </c>
      <c r="AS137" s="25">
        <f t="shared" si="81"/>
        <v>0</v>
      </c>
      <c r="AT137" s="25">
        <f t="shared" si="82"/>
        <v>0</v>
      </c>
      <c r="AU137" s="25">
        <f t="shared" si="83"/>
        <v>0</v>
      </c>
      <c r="AV137" s="25">
        <f t="shared" si="84"/>
        <v>0</v>
      </c>
      <c r="AW137" s="25">
        <f t="shared" si="85"/>
        <v>0</v>
      </c>
      <c r="AX137" s="25">
        <f t="shared" si="86"/>
        <v>0</v>
      </c>
      <c r="AY137" s="25">
        <f t="shared" si="87"/>
        <v>0</v>
      </c>
      <c r="AZ137" s="25">
        <f t="shared" si="88"/>
        <v>0</v>
      </c>
      <c r="BA137" s="25">
        <f t="shared" si="89"/>
        <v>0</v>
      </c>
      <c r="BB137" s="25">
        <f t="shared" si="90"/>
        <v>0</v>
      </c>
      <c r="BC137" s="25">
        <f t="shared" si="91"/>
        <v>0</v>
      </c>
      <c r="BD137" s="25">
        <f t="shared" si="92"/>
        <v>0</v>
      </c>
      <c r="BE137" s="25">
        <f t="shared" si="93"/>
        <v>0</v>
      </c>
      <c r="BF137" s="25">
        <f t="shared" si="94"/>
        <v>339.6</v>
      </c>
    </row>
    <row r="138" spans="1:58" s="25" customFormat="1" ht="15" customHeight="1" x14ac:dyDescent="0.25">
      <c r="A138" s="38" t="s">
        <v>214</v>
      </c>
      <c r="B138" s="38">
        <v>164</v>
      </c>
      <c r="C138" s="27"/>
      <c r="D138" s="27">
        <v>17</v>
      </c>
      <c r="E138" s="20">
        <v>7</v>
      </c>
      <c r="F138" s="20">
        <v>193</v>
      </c>
      <c r="G138" s="20"/>
      <c r="H138" s="20">
        <v>460</v>
      </c>
      <c r="I138" s="20">
        <v>72</v>
      </c>
      <c r="J138" s="20">
        <f t="shared" si="64"/>
        <v>188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>
        <v>20</v>
      </c>
      <c r="U138" s="23">
        <v>147</v>
      </c>
      <c r="V138" s="23">
        <v>50</v>
      </c>
      <c r="W138" s="23">
        <v>60</v>
      </c>
      <c r="X138" s="43">
        <v>3</v>
      </c>
      <c r="Y138" s="23">
        <v>22</v>
      </c>
      <c r="Z138" s="23"/>
      <c r="AA138" s="23"/>
      <c r="AB138" s="24">
        <f t="shared" si="65"/>
        <v>0</v>
      </c>
      <c r="AC138" s="24">
        <f t="shared" si="66"/>
        <v>188</v>
      </c>
      <c r="AD138" s="25">
        <v>0.22</v>
      </c>
      <c r="AE138" s="25">
        <f t="shared" si="67"/>
        <v>36.08</v>
      </c>
      <c r="AF138" s="25">
        <f t="shared" si="68"/>
        <v>0</v>
      </c>
      <c r="AG138" s="25">
        <f t="shared" si="69"/>
        <v>3.74</v>
      </c>
      <c r="AH138" s="25">
        <f t="shared" si="70"/>
        <v>1.54</v>
      </c>
      <c r="AI138" s="25">
        <f t="shared" si="71"/>
        <v>42.46</v>
      </c>
      <c r="AJ138" s="25">
        <f t="shared" si="72"/>
        <v>0</v>
      </c>
      <c r="AK138" s="25">
        <f t="shared" si="73"/>
        <v>101.2</v>
      </c>
      <c r="AL138" s="25">
        <f t="shared" si="74"/>
        <v>15.84</v>
      </c>
      <c r="AM138" s="25">
        <f t="shared" si="75"/>
        <v>41.36</v>
      </c>
      <c r="AN138" s="25">
        <f t="shared" si="76"/>
        <v>0</v>
      </c>
      <c r="AO138" s="25">
        <f t="shared" si="77"/>
        <v>0</v>
      </c>
      <c r="AP138" s="25">
        <f t="shared" si="78"/>
        <v>0</v>
      </c>
      <c r="AQ138" s="25">
        <f t="shared" si="79"/>
        <v>0</v>
      </c>
      <c r="AR138" s="25">
        <f t="shared" si="80"/>
        <v>0</v>
      </c>
      <c r="AS138" s="25">
        <f t="shared" si="81"/>
        <v>0</v>
      </c>
      <c r="AT138" s="25">
        <f t="shared" si="82"/>
        <v>0</v>
      </c>
      <c r="AU138" s="25">
        <f t="shared" si="83"/>
        <v>0</v>
      </c>
      <c r="AV138" s="25">
        <f t="shared" si="84"/>
        <v>0</v>
      </c>
      <c r="AW138" s="25">
        <f t="shared" si="85"/>
        <v>4.4000000000000004</v>
      </c>
      <c r="AX138" s="25">
        <f t="shared" si="86"/>
        <v>32.340000000000003</v>
      </c>
      <c r="AY138" s="25">
        <f t="shared" si="87"/>
        <v>11</v>
      </c>
      <c r="AZ138" s="25">
        <f t="shared" si="88"/>
        <v>13.2</v>
      </c>
      <c r="BA138" s="25">
        <f t="shared" si="89"/>
        <v>0.66</v>
      </c>
      <c r="BB138" s="25">
        <f t="shared" si="90"/>
        <v>4.84</v>
      </c>
      <c r="BC138" s="25">
        <f t="shared" si="91"/>
        <v>0</v>
      </c>
      <c r="BD138" s="25">
        <f t="shared" si="92"/>
        <v>0</v>
      </c>
      <c r="BE138" s="25">
        <f t="shared" si="93"/>
        <v>0</v>
      </c>
      <c r="BF138" s="25">
        <f t="shared" si="94"/>
        <v>41.36</v>
      </c>
    </row>
    <row r="139" spans="1:58" s="25" customFormat="1" ht="15" customHeight="1" x14ac:dyDescent="0.25">
      <c r="A139" s="38" t="s">
        <v>215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si="64"/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43"/>
      <c r="Y139" s="23"/>
      <c r="Z139" s="23"/>
      <c r="AA139" s="23"/>
      <c r="AB139" s="24">
        <f t="shared" si="65"/>
        <v>0</v>
      </c>
      <c r="AC139" s="24">
        <f t="shared" si="66"/>
        <v>0</v>
      </c>
      <c r="AD139" s="25">
        <v>0.22</v>
      </c>
      <c r="AE139" s="25">
        <f t="shared" si="67"/>
        <v>0</v>
      </c>
      <c r="AF139" s="25">
        <f t="shared" si="68"/>
        <v>0</v>
      </c>
      <c r="AG139" s="25">
        <f t="shared" si="69"/>
        <v>0</v>
      </c>
      <c r="AH139" s="25">
        <f t="shared" si="70"/>
        <v>0</v>
      </c>
      <c r="AI139" s="25">
        <f t="shared" si="71"/>
        <v>0</v>
      </c>
      <c r="AJ139" s="25">
        <f t="shared" si="72"/>
        <v>0</v>
      </c>
      <c r="AK139" s="25">
        <f t="shared" si="73"/>
        <v>0</v>
      </c>
      <c r="AL139" s="25">
        <f t="shared" si="74"/>
        <v>0</v>
      </c>
      <c r="AM139" s="25">
        <f t="shared" si="75"/>
        <v>0</v>
      </c>
      <c r="AN139" s="25">
        <f t="shared" si="76"/>
        <v>0</v>
      </c>
      <c r="AO139" s="25">
        <f t="shared" si="77"/>
        <v>0</v>
      </c>
      <c r="AP139" s="25">
        <f t="shared" si="78"/>
        <v>0</v>
      </c>
      <c r="AQ139" s="25">
        <f t="shared" si="79"/>
        <v>0</v>
      </c>
      <c r="AR139" s="25">
        <f t="shared" si="80"/>
        <v>0</v>
      </c>
      <c r="AS139" s="25">
        <f t="shared" si="81"/>
        <v>0</v>
      </c>
      <c r="AT139" s="25">
        <f t="shared" si="82"/>
        <v>0</v>
      </c>
      <c r="AU139" s="25">
        <f t="shared" si="83"/>
        <v>0</v>
      </c>
      <c r="AV139" s="25">
        <f t="shared" si="84"/>
        <v>0</v>
      </c>
      <c r="AW139" s="25">
        <f t="shared" si="85"/>
        <v>0</v>
      </c>
      <c r="AX139" s="25">
        <f t="shared" si="86"/>
        <v>0</v>
      </c>
      <c r="AY139" s="25">
        <f t="shared" si="87"/>
        <v>0</v>
      </c>
      <c r="AZ139" s="25">
        <f t="shared" si="88"/>
        <v>0</v>
      </c>
      <c r="BA139" s="25">
        <f t="shared" si="89"/>
        <v>0</v>
      </c>
      <c r="BB139" s="25">
        <f t="shared" si="90"/>
        <v>0</v>
      </c>
      <c r="BC139" s="25">
        <f t="shared" si="91"/>
        <v>0</v>
      </c>
      <c r="BD139" s="25">
        <f t="shared" si="92"/>
        <v>0</v>
      </c>
      <c r="BE139" s="25">
        <f t="shared" si="93"/>
        <v>0</v>
      </c>
      <c r="BF139" s="25">
        <f t="shared" si="94"/>
        <v>0</v>
      </c>
    </row>
    <row r="140" spans="1:58" s="25" customFormat="1" ht="15" customHeight="1" x14ac:dyDescent="0.25">
      <c r="A140" s="38" t="s">
        <v>216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64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43"/>
      <c r="Y140" s="23"/>
      <c r="Z140" s="23"/>
      <c r="AA140" s="23"/>
      <c r="AB140" s="24">
        <f t="shared" si="65"/>
        <v>0</v>
      </c>
      <c r="AC140" s="24">
        <f t="shared" si="66"/>
        <v>0</v>
      </c>
      <c r="AD140" s="25">
        <v>0.22</v>
      </c>
      <c r="AE140" s="25">
        <f t="shared" si="67"/>
        <v>0</v>
      </c>
      <c r="AF140" s="25">
        <f t="shared" si="68"/>
        <v>0</v>
      </c>
      <c r="AG140" s="25">
        <f t="shared" si="69"/>
        <v>0</v>
      </c>
      <c r="AH140" s="25">
        <f t="shared" si="70"/>
        <v>0</v>
      </c>
      <c r="AI140" s="25">
        <f t="shared" si="71"/>
        <v>0</v>
      </c>
      <c r="AJ140" s="25">
        <f t="shared" si="72"/>
        <v>0</v>
      </c>
      <c r="AK140" s="25">
        <f t="shared" si="73"/>
        <v>0</v>
      </c>
      <c r="AL140" s="25">
        <f t="shared" si="74"/>
        <v>0</v>
      </c>
      <c r="AM140" s="25">
        <f t="shared" si="75"/>
        <v>0</v>
      </c>
      <c r="AN140" s="25">
        <f t="shared" si="76"/>
        <v>0</v>
      </c>
      <c r="AO140" s="25">
        <f t="shared" si="77"/>
        <v>0</v>
      </c>
      <c r="AP140" s="25">
        <f t="shared" si="78"/>
        <v>0</v>
      </c>
      <c r="AQ140" s="25">
        <f t="shared" si="79"/>
        <v>0</v>
      </c>
      <c r="AR140" s="25">
        <f t="shared" si="80"/>
        <v>0</v>
      </c>
      <c r="AS140" s="25">
        <f t="shared" si="81"/>
        <v>0</v>
      </c>
      <c r="AT140" s="25">
        <f t="shared" si="82"/>
        <v>0</v>
      </c>
      <c r="AU140" s="25">
        <f t="shared" si="83"/>
        <v>0</v>
      </c>
      <c r="AV140" s="25">
        <f t="shared" si="84"/>
        <v>0</v>
      </c>
      <c r="AW140" s="25">
        <f t="shared" si="85"/>
        <v>0</v>
      </c>
      <c r="AX140" s="25">
        <f t="shared" si="86"/>
        <v>0</v>
      </c>
      <c r="AY140" s="25">
        <f t="shared" si="87"/>
        <v>0</v>
      </c>
      <c r="AZ140" s="25">
        <f t="shared" si="88"/>
        <v>0</v>
      </c>
      <c r="BA140" s="25">
        <f t="shared" si="89"/>
        <v>0</v>
      </c>
      <c r="BB140" s="25">
        <f t="shared" si="90"/>
        <v>0</v>
      </c>
      <c r="BC140" s="25">
        <f t="shared" si="91"/>
        <v>0</v>
      </c>
      <c r="BD140" s="25">
        <f t="shared" si="92"/>
        <v>0</v>
      </c>
      <c r="BE140" s="25">
        <f t="shared" si="93"/>
        <v>0</v>
      </c>
      <c r="BF140" s="25">
        <f t="shared" si="94"/>
        <v>0</v>
      </c>
    </row>
    <row r="141" spans="1:58" s="25" customFormat="1" ht="15" customHeight="1" x14ac:dyDescent="0.25">
      <c r="A141" s="38" t="s">
        <v>217</v>
      </c>
      <c r="B141" s="38">
        <v>0</v>
      </c>
      <c r="C141" s="27"/>
      <c r="D141" s="27">
        <v>6</v>
      </c>
      <c r="E141" s="20">
        <v>38</v>
      </c>
      <c r="F141" s="20">
        <v>14</v>
      </c>
      <c r="G141" s="20"/>
      <c r="H141" s="20"/>
      <c r="I141" s="20">
        <v>54</v>
      </c>
      <c r="J141" s="20">
        <f t="shared" si="64"/>
        <v>44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43"/>
      <c r="Y141" s="23"/>
      <c r="Z141" s="23"/>
      <c r="AA141" s="23"/>
      <c r="AB141" s="24">
        <f t="shared" si="65"/>
        <v>0</v>
      </c>
      <c r="AC141" s="24">
        <f t="shared" si="66"/>
        <v>44</v>
      </c>
      <c r="AD141" s="25">
        <v>0.22</v>
      </c>
      <c r="AE141" s="25">
        <f t="shared" si="67"/>
        <v>0</v>
      </c>
      <c r="AF141" s="25">
        <f t="shared" si="68"/>
        <v>0</v>
      </c>
      <c r="AG141" s="25">
        <f t="shared" si="69"/>
        <v>1.32</v>
      </c>
      <c r="AH141" s="25">
        <f t="shared" si="70"/>
        <v>8.36</v>
      </c>
      <c r="AI141" s="25">
        <f t="shared" si="71"/>
        <v>3.08</v>
      </c>
      <c r="AJ141" s="25">
        <f t="shared" si="72"/>
        <v>0</v>
      </c>
      <c r="AK141" s="25">
        <f t="shared" si="73"/>
        <v>0</v>
      </c>
      <c r="AL141" s="25">
        <f t="shared" si="74"/>
        <v>11.88</v>
      </c>
      <c r="AM141" s="25">
        <f t="shared" si="75"/>
        <v>9.68</v>
      </c>
      <c r="AN141" s="25">
        <f t="shared" si="76"/>
        <v>0</v>
      </c>
      <c r="AO141" s="25">
        <f t="shared" si="77"/>
        <v>0</v>
      </c>
      <c r="AP141" s="25">
        <f t="shared" si="78"/>
        <v>0</v>
      </c>
      <c r="AQ141" s="25">
        <f t="shared" si="79"/>
        <v>0</v>
      </c>
      <c r="AR141" s="25">
        <f t="shared" si="80"/>
        <v>0</v>
      </c>
      <c r="AS141" s="25">
        <f t="shared" si="81"/>
        <v>0</v>
      </c>
      <c r="AT141" s="25">
        <f t="shared" si="82"/>
        <v>0</v>
      </c>
      <c r="AU141" s="25">
        <f t="shared" si="83"/>
        <v>0</v>
      </c>
      <c r="AV141" s="25">
        <f t="shared" si="84"/>
        <v>0</v>
      </c>
      <c r="AW141" s="25">
        <f t="shared" si="85"/>
        <v>0</v>
      </c>
      <c r="AX141" s="25">
        <f t="shared" si="86"/>
        <v>0</v>
      </c>
      <c r="AY141" s="25">
        <f t="shared" si="87"/>
        <v>0</v>
      </c>
      <c r="AZ141" s="25">
        <f t="shared" si="88"/>
        <v>0</v>
      </c>
      <c r="BA141" s="25">
        <f t="shared" si="89"/>
        <v>0</v>
      </c>
      <c r="BB141" s="25">
        <f t="shared" si="90"/>
        <v>0</v>
      </c>
      <c r="BC141" s="25">
        <f t="shared" si="91"/>
        <v>0</v>
      </c>
      <c r="BD141" s="25">
        <f t="shared" si="92"/>
        <v>0</v>
      </c>
      <c r="BE141" s="25">
        <f t="shared" si="93"/>
        <v>0</v>
      </c>
      <c r="BF141" s="25">
        <f t="shared" si="94"/>
        <v>9.68</v>
      </c>
    </row>
    <row r="142" spans="1:58" s="25" customFormat="1" ht="15" customHeight="1" x14ac:dyDescent="0.25">
      <c r="A142" s="38" t="s">
        <v>218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64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43"/>
      <c r="Y142" s="23"/>
      <c r="Z142" s="23"/>
      <c r="AA142" s="23"/>
      <c r="AB142" s="24">
        <f t="shared" si="65"/>
        <v>0</v>
      </c>
      <c r="AC142" s="24">
        <f t="shared" si="66"/>
        <v>0</v>
      </c>
      <c r="AD142" s="25">
        <v>0.22</v>
      </c>
      <c r="AE142" s="25">
        <f t="shared" si="67"/>
        <v>0</v>
      </c>
      <c r="AF142" s="25">
        <f t="shared" si="68"/>
        <v>0</v>
      </c>
      <c r="AG142" s="25">
        <f t="shared" si="69"/>
        <v>0</v>
      </c>
      <c r="AH142" s="25">
        <f t="shared" si="70"/>
        <v>0</v>
      </c>
      <c r="AI142" s="25">
        <f t="shared" si="71"/>
        <v>0</v>
      </c>
      <c r="AJ142" s="25">
        <f t="shared" si="72"/>
        <v>0</v>
      </c>
      <c r="AK142" s="25">
        <f t="shared" si="73"/>
        <v>0</v>
      </c>
      <c r="AL142" s="25">
        <f t="shared" si="74"/>
        <v>0</v>
      </c>
      <c r="AM142" s="25">
        <f t="shared" si="75"/>
        <v>0</v>
      </c>
      <c r="AN142" s="25">
        <f t="shared" si="76"/>
        <v>0</v>
      </c>
      <c r="AO142" s="25">
        <f t="shared" si="77"/>
        <v>0</v>
      </c>
      <c r="AP142" s="25">
        <f t="shared" si="78"/>
        <v>0</v>
      </c>
      <c r="AQ142" s="25">
        <f t="shared" si="79"/>
        <v>0</v>
      </c>
      <c r="AR142" s="25">
        <f t="shared" si="80"/>
        <v>0</v>
      </c>
      <c r="AS142" s="25">
        <f t="shared" si="81"/>
        <v>0</v>
      </c>
      <c r="AT142" s="25">
        <f t="shared" si="82"/>
        <v>0</v>
      </c>
      <c r="AU142" s="25">
        <f t="shared" si="83"/>
        <v>0</v>
      </c>
      <c r="AV142" s="25">
        <f t="shared" si="84"/>
        <v>0</v>
      </c>
      <c r="AW142" s="25">
        <f t="shared" si="85"/>
        <v>0</v>
      </c>
      <c r="AX142" s="25">
        <f t="shared" si="86"/>
        <v>0</v>
      </c>
      <c r="AY142" s="25">
        <f t="shared" si="87"/>
        <v>0</v>
      </c>
      <c r="AZ142" s="25">
        <f t="shared" si="88"/>
        <v>0</v>
      </c>
      <c r="BA142" s="25">
        <f t="shared" si="89"/>
        <v>0</v>
      </c>
      <c r="BB142" s="25">
        <f t="shared" si="90"/>
        <v>0</v>
      </c>
      <c r="BC142" s="25">
        <f t="shared" si="91"/>
        <v>0</v>
      </c>
      <c r="BD142" s="25">
        <f t="shared" si="92"/>
        <v>0</v>
      </c>
      <c r="BE142" s="25">
        <f t="shared" si="93"/>
        <v>0</v>
      </c>
      <c r="BF142" s="25">
        <f t="shared" si="94"/>
        <v>0</v>
      </c>
    </row>
    <row r="143" spans="1:58" s="25" customFormat="1" ht="15" customHeight="1" x14ac:dyDescent="0.25">
      <c r="A143" s="38" t="s">
        <v>219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64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43"/>
      <c r="Y143" s="23"/>
      <c r="Z143" s="23"/>
      <c r="AA143" s="23"/>
      <c r="AB143" s="24">
        <f t="shared" si="65"/>
        <v>0</v>
      </c>
      <c r="AC143" s="24">
        <f t="shared" si="66"/>
        <v>0</v>
      </c>
      <c r="AD143" s="25">
        <v>0.22</v>
      </c>
      <c r="AE143" s="25">
        <f t="shared" si="67"/>
        <v>0</v>
      </c>
      <c r="AF143" s="25">
        <f t="shared" si="68"/>
        <v>0</v>
      </c>
      <c r="AG143" s="25">
        <f t="shared" si="69"/>
        <v>0</v>
      </c>
      <c r="AH143" s="25">
        <f t="shared" si="70"/>
        <v>0</v>
      </c>
      <c r="AI143" s="25">
        <f t="shared" si="71"/>
        <v>0</v>
      </c>
      <c r="AJ143" s="25">
        <f t="shared" si="72"/>
        <v>0</v>
      </c>
      <c r="AK143" s="25">
        <f t="shared" si="73"/>
        <v>0</v>
      </c>
      <c r="AL143" s="25">
        <f t="shared" si="74"/>
        <v>0</v>
      </c>
      <c r="AM143" s="25">
        <f t="shared" si="75"/>
        <v>0</v>
      </c>
      <c r="AN143" s="25">
        <f t="shared" si="76"/>
        <v>0</v>
      </c>
      <c r="AO143" s="25">
        <f t="shared" si="77"/>
        <v>0</v>
      </c>
      <c r="AP143" s="25">
        <f t="shared" si="78"/>
        <v>0</v>
      </c>
      <c r="AQ143" s="25">
        <f t="shared" si="79"/>
        <v>0</v>
      </c>
      <c r="AR143" s="25">
        <f t="shared" si="80"/>
        <v>0</v>
      </c>
      <c r="AS143" s="25">
        <f t="shared" si="81"/>
        <v>0</v>
      </c>
      <c r="AT143" s="25">
        <f t="shared" si="82"/>
        <v>0</v>
      </c>
      <c r="AU143" s="25">
        <f t="shared" si="83"/>
        <v>0</v>
      </c>
      <c r="AV143" s="25">
        <f t="shared" si="84"/>
        <v>0</v>
      </c>
      <c r="AW143" s="25">
        <f t="shared" si="85"/>
        <v>0</v>
      </c>
      <c r="AX143" s="25">
        <f t="shared" si="86"/>
        <v>0</v>
      </c>
      <c r="AY143" s="25">
        <f t="shared" si="87"/>
        <v>0</v>
      </c>
      <c r="AZ143" s="25">
        <f t="shared" si="88"/>
        <v>0</v>
      </c>
      <c r="BA143" s="25">
        <f t="shared" si="89"/>
        <v>0</v>
      </c>
      <c r="BB143" s="25">
        <f t="shared" si="90"/>
        <v>0</v>
      </c>
      <c r="BC143" s="25">
        <f t="shared" si="91"/>
        <v>0</v>
      </c>
      <c r="BD143" s="25">
        <f t="shared" si="92"/>
        <v>0</v>
      </c>
      <c r="BE143" s="25">
        <f t="shared" si="93"/>
        <v>0</v>
      </c>
      <c r="BF143" s="25">
        <f t="shared" si="94"/>
        <v>0</v>
      </c>
    </row>
    <row r="144" spans="1:58" s="25" customFormat="1" ht="15" customHeight="1" x14ac:dyDescent="0.25">
      <c r="A144" s="38" t="s">
        <v>220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64"/>
        <v>338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>
        <v>33</v>
      </c>
      <c r="X144" s="43"/>
      <c r="Y144" s="23">
        <v>197</v>
      </c>
      <c r="Z144" s="23"/>
      <c r="AA144" s="23"/>
      <c r="AB144" s="24">
        <f t="shared" si="65"/>
        <v>0</v>
      </c>
      <c r="AC144" s="24">
        <f t="shared" si="66"/>
        <v>338</v>
      </c>
      <c r="AD144" s="25">
        <v>0.22</v>
      </c>
      <c r="AE144" s="25">
        <f t="shared" si="67"/>
        <v>69.08</v>
      </c>
      <c r="AF144" s="25">
        <f t="shared" si="68"/>
        <v>0</v>
      </c>
      <c r="AG144" s="25">
        <f t="shared" si="69"/>
        <v>5.28</v>
      </c>
      <c r="AH144" s="25">
        <f t="shared" si="70"/>
        <v>0</v>
      </c>
      <c r="AI144" s="25">
        <f t="shared" si="71"/>
        <v>29.26</v>
      </c>
      <c r="AJ144" s="25">
        <f t="shared" si="72"/>
        <v>0</v>
      </c>
      <c r="AK144" s="25">
        <f t="shared" si="73"/>
        <v>22.66</v>
      </c>
      <c r="AL144" s="25">
        <f t="shared" si="74"/>
        <v>26.62</v>
      </c>
      <c r="AM144" s="25">
        <f t="shared" si="75"/>
        <v>74.36</v>
      </c>
      <c r="AN144" s="25">
        <f t="shared" si="76"/>
        <v>0</v>
      </c>
      <c r="AO144" s="25">
        <f t="shared" si="77"/>
        <v>0</v>
      </c>
      <c r="AP144" s="25">
        <f t="shared" si="78"/>
        <v>0</v>
      </c>
      <c r="AQ144" s="25">
        <f t="shared" si="79"/>
        <v>0</v>
      </c>
      <c r="AR144" s="25">
        <f t="shared" si="80"/>
        <v>0</v>
      </c>
      <c r="AS144" s="25">
        <f t="shared" si="81"/>
        <v>0</v>
      </c>
      <c r="AT144" s="25">
        <f t="shared" si="82"/>
        <v>0</v>
      </c>
      <c r="AU144" s="25">
        <f t="shared" si="83"/>
        <v>0</v>
      </c>
      <c r="AV144" s="25">
        <f t="shared" si="84"/>
        <v>0</v>
      </c>
      <c r="AW144" s="25">
        <f t="shared" si="85"/>
        <v>0</v>
      </c>
      <c r="AX144" s="25">
        <f t="shared" si="86"/>
        <v>0</v>
      </c>
      <c r="AY144" s="25">
        <f t="shared" si="87"/>
        <v>0</v>
      </c>
      <c r="AZ144" s="25">
        <f t="shared" si="88"/>
        <v>7.26</v>
      </c>
      <c r="BA144" s="25">
        <f t="shared" si="89"/>
        <v>0</v>
      </c>
      <c r="BB144" s="25">
        <f t="shared" si="90"/>
        <v>43.34</v>
      </c>
      <c r="BC144" s="25">
        <f t="shared" si="91"/>
        <v>0</v>
      </c>
      <c r="BD144" s="25">
        <f t="shared" si="92"/>
        <v>0</v>
      </c>
      <c r="BE144" s="25">
        <f t="shared" si="93"/>
        <v>0</v>
      </c>
      <c r="BF144" s="25">
        <f t="shared" si="94"/>
        <v>74.36</v>
      </c>
    </row>
    <row r="145" spans="1:58" s="25" customFormat="1" ht="15" customHeight="1" x14ac:dyDescent="0.25">
      <c r="A145" s="38" t="s">
        <v>221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64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43"/>
      <c r="Y145" s="23"/>
      <c r="Z145" s="23"/>
      <c r="AA145" s="23"/>
      <c r="AB145" s="24">
        <f t="shared" si="65"/>
        <v>2</v>
      </c>
      <c r="AC145" s="24">
        <f t="shared" si="66"/>
        <v>2</v>
      </c>
      <c r="AD145" s="25">
        <v>39</v>
      </c>
      <c r="AE145" s="25">
        <f t="shared" si="67"/>
        <v>156</v>
      </c>
      <c r="AF145" s="25">
        <f t="shared" si="68"/>
        <v>0</v>
      </c>
      <c r="AG145" s="25">
        <f t="shared" si="69"/>
        <v>0</v>
      </c>
      <c r="AH145" s="25">
        <f t="shared" si="70"/>
        <v>0</v>
      </c>
      <c r="AI145" s="25">
        <f t="shared" si="71"/>
        <v>0</v>
      </c>
      <c r="AJ145" s="25">
        <f t="shared" si="72"/>
        <v>0</v>
      </c>
      <c r="AK145" s="25">
        <f t="shared" si="73"/>
        <v>0</v>
      </c>
      <c r="AL145" s="25">
        <f t="shared" si="74"/>
        <v>0</v>
      </c>
      <c r="AM145" s="25">
        <f t="shared" si="75"/>
        <v>156</v>
      </c>
      <c r="AN145" s="25">
        <f t="shared" si="76"/>
        <v>0</v>
      </c>
      <c r="AO145" s="25">
        <f t="shared" si="77"/>
        <v>0</v>
      </c>
      <c r="AP145" s="25">
        <f t="shared" si="78"/>
        <v>78</v>
      </c>
      <c r="AQ145" s="25">
        <f t="shared" si="79"/>
        <v>0</v>
      </c>
      <c r="AR145" s="25">
        <f t="shared" si="80"/>
        <v>0</v>
      </c>
      <c r="AS145" s="25">
        <f t="shared" si="81"/>
        <v>0</v>
      </c>
      <c r="AT145" s="25">
        <f t="shared" si="82"/>
        <v>0</v>
      </c>
      <c r="AU145" s="25">
        <f t="shared" si="83"/>
        <v>0</v>
      </c>
      <c r="AV145" s="25">
        <f t="shared" si="84"/>
        <v>0</v>
      </c>
      <c r="AW145" s="25">
        <f t="shared" si="85"/>
        <v>0</v>
      </c>
      <c r="AX145" s="25">
        <f t="shared" si="86"/>
        <v>0</v>
      </c>
      <c r="AY145" s="25">
        <f t="shared" si="87"/>
        <v>0</v>
      </c>
      <c r="AZ145" s="25">
        <f t="shared" si="88"/>
        <v>0</v>
      </c>
      <c r="BA145" s="25">
        <f t="shared" si="89"/>
        <v>0</v>
      </c>
      <c r="BB145" s="25">
        <f t="shared" si="90"/>
        <v>0</v>
      </c>
      <c r="BC145" s="25">
        <f t="shared" si="91"/>
        <v>0</v>
      </c>
      <c r="BD145" s="25">
        <f t="shared" si="92"/>
        <v>0</v>
      </c>
      <c r="BE145" s="25">
        <f t="shared" si="93"/>
        <v>78</v>
      </c>
      <c r="BF145" s="25">
        <f t="shared" si="94"/>
        <v>78</v>
      </c>
    </row>
    <row r="146" spans="1:58" s="25" customFormat="1" ht="15" customHeight="1" x14ac:dyDescent="0.25">
      <c r="A146" s="38" t="s">
        <v>222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64"/>
        <v>0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>
        <v>50</v>
      </c>
      <c r="U146" s="23"/>
      <c r="V146" s="23"/>
      <c r="W146" s="23"/>
      <c r="X146" s="43"/>
      <c r="Y146" s="23"/>
      <c r="Z146" s="23"/>
      <c r="AA146" s="23"/>
      <c r="AB146" s="24">
        <f t="shared" si="65"/>
        <v>0</v>
      </c>
      <c r="AC146" s="24">
        <f t="shared" si="66"/>
        <v>0</v>
      </c>
      <c r="AD146" s="25">
        <v>18</v>
      </c>
      <c r="AE146" s="25">
        <f t="shared" si="67"/>
        <v>0</v>
      </c>
      <c r="AF146" s="25">
        <f t="shared" si="68"/>
        <v>0</v>
      </c>
      <c r="AG146" s="25">
        <f t="shared" si="69"/>
        <v>0</v>
      </c>
      <c r="AH146" s="25">
        <f t="shared" si="70"/>
        <v>0</v>
      </c>
      <c r="AI146" s="25">
        <f t="shared" si="71"/>
        <v>0</v>
      </c>
      <c r="AJ146" s="25">
        <f t="shared" si="72"/>
        <v>1224</v>
      </c>
      <c r="AK146" s="25">
        <f t="shared" si="73"/>
        <v>0</v>
      </c>
      <c r="AL146" s="25">
        <f t="shared" si="74"/>
        <v>0</v>
      </c>
      <c r="AM146" s="25">
        <f t="shared" si="75"/>
        <v>0</v>
      </c>
      <c r="AN146" s="25">
        <f t="shared" si="76"/>
        <v>0</v>
      </c>
      <c r="AO146" s="25">
        <f t="shared" si="77"/>
        <v>0</v>
      </c>
      <c r="AP146" s="25">
        <f t="shared" si="78"/>
        <v>0</v>
      </c>
      <c r="AQ146" s="25">
        <f t="shared" si="79"/>
        <v>0</v>
      </c>
      <c r="AR146" s="25">
        <f t="shared" si="80"/>
        <v>0</v>
      </c>
      <c r="AS146" s="25">
        <f t="shared" si="81"/>
        <v>0</v>
      </c>
      <c r="AT146" s="25">
        <f t="shared" si="82"/>
        <v>0</v>
      </c>
      <c r="AU146" s="25">
        <f t="shared" si="83"/>
        <v>0</v>
      </c>
      <c r="AV146" s="25">
        <f t="shared" si="84"/>
        <v>0</v>
      </c>
      <c r="AW146" s="25">
        <f t="shared" si="85"/>
        <v>900</v>
      </c>
      <c r="AX146" s="25">
        <f t="shared" si="86"/>
        <v>0</v>
      </c>
      <c r="AY146" s="25">
        <f t="shared" si="87"/>
        <v>0</v>
      </c>
      <c r="AZ146" s="25">
        <f t="shared" si="88"/>
        <v>0</v>
      </c>
      <c r="BA146" s="25">
        <f t="shared" si="89"/>
        <v>0</v>
      </c>
      <c r="BB146" s="25">
        <f t="shared" si="90"/>
        <v>0</v>
      </c>
      <c r="BC146" s="25">
        <f t="shared" si="91"/>
        <v>0</v>
      </c>
      <c r="BD146" s="25">
        <f t="shared" si="92"/>
        <v>0</v>
      </c>
      <c r="BE146" s="25">
        <f t="shared" si="93"/>
        <v>0</v>
      </c>
      <c r="BF146" s="25">
        <f t="shared" si="94"/>
        <v>0</v>
      </c>
    </row>
    <row r="147" spans="1:58" s="25" customFormat="1" ht="15" customHeight="1" x14ac:dyDescent="0.25">
      <c r="A147" s="38" t="s">
        <v>223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64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43"/>
      <c r="Y147" s="23"/>
      <c r="Z147" s="23"/>
      <c r="AA147" s="23"/>
      <c r="AB147" s="24">
        <f t="shared" si="65"/>
        <v>0</v>
      </c>
      <c r="AC147" s="24">
        <f t="shared" si="66"/>
        <v>0</v>
      </c>
      <c r="AD147" s="25">
        <v>11</v>
      </c>
      <c r="AE147" s="25">
        <f t="shared" si="67"/>
        <v>0</v>
      </c>
      <c r="AF147" s="25">
        <f t="shared" si="68"/>
        <v>0</v>
      </c>
      <c r="AG147" s="25">
        <f t="shared" si="69"/>
        <v>0</v>
      </c>
      <c r="AH147" s="25">
        <f t="shared" si="70"/>
        <v>0</v>
      </c>
      <c r="AI147" s="25">
        <f t="shared" si="71"/>
        <v>0</v>
      </c>
      <c r="AJ147" s="25">
        <f t="shared" si="72"/>
        <v>0</v>
      </c>
      <c r="AK147" s="25">
        <f t="shared" si="73"/>
        <v>0</v>
      </c>
      <c r="AL147" s="25">
        <f t="shared" si="74"/>
        <v>0</v>
      </c>
      <c r="AM147" s="25">
        <f t="shared" si="75"/>
        <v>0</v>
      </c>
      <c r="AN147" s="25">
        <f t="shared" si="76"/>
        <v>0</v>
      </c>
      <c r="AO147" s="25">
        <f t="shared" si="77"/>
        <v>0</v>
      </c>
      <c r="AP147" s="25">
        <f t="shared" si="78"/>
        <v>0</v>
      </c>
      <c r="AQ147" s="25">
        <f t="shared" si="79"/>
        <v>0</v>
      </c>
      <c r="AR147" s="25">
        <f t="shared" si="80"/>
        <v>0</v>
      </c>
      <c r="AS147" s="25">
        <f t="shared" si="81"/>
        <v>0</v>
      </c>
      <c r="AT147" s="25">
        <f t="shared" si="82"/>
        <v>0</v>
      </c>
      <c r="AU147" s="25">
        <f t="shared" si="83"/>
        <v>0</v>
      </c>
      <c r="AV147" s="25">
        <f t="shared" si="84"/>
        <v>0</v>
      </c>
      <c r="AW147" s="25">
        <f t="shared" si="85"/>
        <v>0</v>
      </c>
      <c r="AX147" s="25">
        <f t="shared" si="86"/>
        <v>0</v>
      </c>
      <c r="AY147" s="25">
        <f t="shared" si="87"/>
        <v>0</v>
      </c>
      <c r="AZ147" s="25">
        <f t="shared" si="88"/>
        <v>0</v>
      </c>
      <c r="BA147" s="25">
        <f t="shared" si="89"/>
        <v>0</v>
      </c>
      <c r="BB147" s="25">
        <f t="shared" si="90"/>
        <v>0</v>
      </c>
      <c r="BC147" s="25">
        <f t="shared" si="91"/>
        <v>0</v>
      </c>
      <c r="BD147" s="25">
        <f t="shared" si="92"/>
        <v>0</v>
      </c>
      <c r="BE147" s="25">
        <f t="shared" si="93"/>
        <v>0</v>
      </c>
      <c r="BF147" s="25">
        <f t="shared" si="94"/>
        <v>0</v>
      </c>
    </row>
    <row r="148" spans="1:58" s="25" customFormat="1" ht="15" customHeight="1" x14ac:dyDescent="0.25">
      <c r="A148" s="38" t="s">
        <v>224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64"/>
        <v>0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>
        <v>15</v>
      </c>
      <c r="U148" s="23"/>
      <c r="V148" s="23"/>
      <c r="W148" s="23"/>
      <c r="X148" s="43"/>
      <c r="Y148" s="23"/>
      <c r="Z148" s="23"/>
      <c r="AA148" s="23"/>
      <c r="AB148" s="24">
        <f t="shared" si="65"/>
        <v>0</v>
      </c>
      <c r="AC148" s="24">
        <f t="shared" si="66"/>
        <v>0</v>
      </c>
      <c r="AD148" s="25">
        <v>8</v>
      </c>
      <c r="AE148" s="25">
        <f t="shared" si="67"/>
        <v>0</v>
      </c>
      <c r="AF148" s="25">
        <f t="shared" si="68"/>
        <v>104</v>
      </c>
      <c r="AG148" s="25">
        <f t="shared" si="69"/>
        <v>0</v>
      </c>
      <c r="AH148" s="25">
        <f t="shared" si="70"/>
        <v>0</v>
      </c>
      <c r="AI148" s="25">
        <f t="shared" si="71"/>
        <v>0</v>
      </c>
      <c r="AJ148" s="25">
        <f t="shared" si="72"/>
        <v>224</v>
      </c>
      <c r="AK148" s="25">
        <f t="shared" si="73"/>
        <v>0</v>
      </c>
      <c r="AL148" s="25">
        <f t="shared" si="74"/>
        <v>0</v>
      </c>
      <c r="AM148" s="25">
        <f t="shared" si="75"/>
        <v>0</v>
      </c>
      <c r="AN148" s="25">
        <f t="shared" si="76"/>
        <v>0</v>
      </c>
      <c r="AO148" s="25">
        <f t="shared" si="77"/>
        <v>0</v>
      </c>
      <c r="AP148" s="25">
        <f t="shared" si="78"/>
        <v>0</v>
      </c>
      <c r="AQ148" s="25">
        <f t="shared" si="79"/>
        <v>0</v>
      </c>
      <c r="AR148" s="25">
        <f t="shared" si="80"/>
        <v>0</v>
      </c>
      <c r="AS148" s="25">
        <f t="shared" si="81"/>
        <v>0</v>
      </c>
      <c r="AT148" s="25">
        <f t="shared" si="82"/>
        <v>0</v>
      </c>
      <c r="AU148" s="25">
        <f t="shared" si="83"/>
        <v>0</v>
      </c>
      <c r="AV148" s="25">
        <f t="shared" si="84"/>
        <v>0</v>
      </c>
      <c r="AW148" s="25">
        <f t="shared" si="85"/>
        <v>120</v>
      </c>
      <c r="AX148" s="25">
        <f t="shared" si="86"/>
        <v>0</v>
      </c>
      <c r="AY148" s="25">
        <f t="shared" si="87"/>
        <v>0</v>
      </c>
      <c r="AZ148" s="25">
        <f t="shared" si="88"/>
        <v>0</v>
      </c>
      <c r="BA148" s="25">
        <f t="shared" si="89"/>
        <v>0</v>
      </c>
      <c r="BB148" s="25">
        <f t="shared" si="90"/>
        <v>0</v>
      </c>
      <c r="BC148" s="25">
        <f t="shared" si="91"/>
        <v>0</v>
      </c>
      <c r="BD148" s="25">
        <f t="shared" si="92"/>
        <v>0</v>
      </c>
      <c r="BE148" s="25">
        <f t="shared" si="93"/>
        <v>0</v>
      </c>
      <c r="BF148" s="25">
        <f t="shared" si="94"/>
        <v>0</v>
      </c>
    </row>
    <row r="149" spans="1:58" s="25" customFormat="1" ht="15" customHeight="1" x14ac:dyDescent="0.25">
      <c r="A149" s="38" t="s">
        <v>225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64"/>
        <v>0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>
        <v>12</v>
      </c>
      <c r="U149" s="23"/>
      <c r="V149" s="23"/>
      <c r="W149" s="23"/>
      <c r="X149" s="43"/>
      <c r="Y149" s="23"/>
      <c r="Z149" s="23"/>
      <c r="AA149" s="23"/>
      <c r="AB149" s="24">
        <f t="shared" si="65"/>
        <v>0</v>
      </c>
      <c r="AC149" s="24">
        <f t="shared" si="66"/>
        <v>0</v>
      </c>
      <c r="AD149" s="25">
        <v>12</v>
      </c>
      <c r="AE149" s="25">
        <f t="shared" si="67"/>
        <v>0</v>
      </c>
      <c r="AF149" s="25">
        <f t="shared" si="68"/>
        <v>2340</v>
      </c>
      <c r="AG149" s="25">
        <f t="shared" si="69"/>
        <v>0</v>
      </c>
      <c r="AH149" s="25">
        <f t="shared" si="70"/>
        <v>0</v>
      </c>
      <c r="AI149" s="25">
        <f t="shared" si="71"/>
        <v>0</v>
      </c>
      <c r="AJ149" s="25">
        <f t="shared" si="72"/>
        <v>0</v>
      </c>
      <c r="AK149" s="25">
        <f t="shared" si="73"/>
        <v>0</v>
      </c>
      <c r="AL149" s="25">
        <f t="shared" si="74"/>
        <v>0</v>
      </c>
      <c r="AM149" s="25">
        <f t="shared" si="75"/>
        <v>0</v>
      </c>
      <c r="AN149" s="25">
        <f t="shared" si="76"/>
        <v>0</v>
      </c>
      <c r="AO149" s="25">
        <f t="shared" si="77"/>
        <v>0</v>
      </c>
      <c r="AP149" s="25">
        <f t="shared" si="78"/>
        <v>0</v>
      </c>
      <c r="AQ149" s="25">
        <f t="shared" si="79"/>
        <v>0</v>
      </c>
      <c r="AR149" s="25">
        <f t="shared" si="80"/>
        <v>0</v>
      </c>
      <c r="AS149" s="25">
        <f t="shared" si="81"/>
        <v>0</v>
      </c>
      <c r="AT149" s="25">
        <f t="shared" si="82"/>
        <v>0</v>
      </c>
      <c r="AU149" s="25">
        <f t="shared" si="83"/>
        <v>0</v>
      </c>
      <c r="AV149" s="25">
        <f t="shared" si="84"/>
        <v>0</v>
      </c>
      <c r="AW149" s="25">
        <f t="shared" si="85"/>
        <v>144</v>
      </c>
      <c r="AX149" s="25">
        <f t="shared" si="86"/>
        <v>0</v>
      </c>
      <c r="AY149" s="25">
        <f t="shared" si="87"/>
        <v>0</v>
      </c>
      <c r="AZ149" s="25">
        <f t="shared" si="88"/>
        <v>0</v>
      </c>
      <c r="BA149" s="25">
        <f t="shared" si="89"/>
        <v>0</v>
      </c>
      <c r="BB149" s="25">
        <f t="shared" si="90"/>
        <v>0</v>
      </c>
      <c r="BC149" s="25">
        <f t="shared" si="91"/>
        <v>0</v>
      </c>
      <c r="BD149" s="25">
        <f t="shared" si="92"/>
        <v>0</v>
      </c>
      <c r="BE149" s="25">
        <f t="shared" si="93"/>
        <v>0</v>
      </c>
      <c r="BF149" s="25">
        <f t="shared" si="94"/>
        <v>0</v>
      </c>
    </row>
    <row r="150" spans="1:58" s="25" customFormat="1" ht="15" customHeight="1" x14ac:dyDescent="0.25">
      <c r="A150" s="38" t="s">
        <v>226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64"/>
        <v>0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43"/>
      <c r="Y150" s="23"/>
      <c r="Z150" s="23"/>
      <c r="AA150" s="23"/>
      <c r="AB150" s="24">
        <f t="shared" si="65"/>
        <v>3</v>
      </c>
      <c r="AC150" s="24">
        <f t="shared" si="66"/>
        <v>-3</v>
      </c>
      <c r="AD150" s="25">
        <v>16</v>
      </c>
      <c r="AE150" s="25">
        <f t="shared" si="67"/>
        <v>0</v>
      </c>
      <c r="AF150" s="25">
        <f t="shared" si="68"/>
        <v>752</v>
      </c>
      <c r="AG150" s="25">
        <f t="shared" si="69"/>
        <v>0</v>
      </c>
      <c r="AH150" s="25">
        <f t="shared" si="70"/>
        <v>0</v>
      </c>
      <c r="AI150" s="25">
        <f t="shared" si="71"/>
        <v>0</v>
      </c>
      <c r="AJ150" s="25">
        <f t="shared" si="72"/>
        <v>0</v>
      </c>
      <c r="AK150" s="25">
        <f t="shared" si="73"/>
        <v>0</v>
      </c>
      <c r="AL150" s="25">
        <f t="shared" si="74"/>
        <v>0</v>
      </c>
      <c r="AM150" s="25">
        <f t="shared" si="75"/>
        <v>0</v>
      </c>
      <c r="AN150" s="25">
        <f t="shared" si="76"/>
        <v>0</v>
      </c>
      <c r="AO150" s="25">
        <f t="shared" si="77"/>
        <v>48</v>
      </c>
      <c r="AP150" s="25">
        <f t="shared" si="78"/>
        <v>0</v>
      </c>
      <c r="AQ150" s="25">
        <f t="shared" si="79"/>
        <v>0</v>
      </c>
      <c r="AR150" s="25">
        <f t="shared" si="80"/>
        <v>0</v>
      </c>
      <c r="AS150" s="25">
        <f t="shared" si="81"/>
        <v>0</v>
      </c>
      <c r="AT150" s="25">
        <f t="shared" si="82"/>
        <v>0</v>
      </c>
      <c r="AU150" s="25">
        <f t="shared" si="83"/>
        <v>0</v>
      </c>
      <c r="AV150" s="25">
        <f t="shared" si="84"/>
        <v>0</v>
      </c>
      <c r="AW150" s="25">
        <f t="shared" si="85"/>
        <v>0</v>
      </c>
      <c r="AX150" s="25">
        <f t="shared" si="86"/>
        <v>0</v>
      </c>
      <c r="AY150" s="25">
        <f t="shared" si="87"/>
        <v>0</v>
      </c>
      <c r="AZ150" s="25">
        <f t="shared" si="88"/>
        <v>0</v>
      </c>
      <c r="BA150" s="25">
        <f t="shared" si="89"/>
        <v>0</v>
      </c>
      <c r="BB150" s="25">
        <f t="shared" si="90"/>
        <v>0</v>
      </c>
      <c r="BC150" s="25">
        <f t="shared" si="91"/>
        <v>0</v>
      </c>
      <c r="BD150" s="25">
        <f t="shared" si="92"/>
        <v>0</v>
      </c>
      <c r="BE150" s="25">
        <f t="shared" si="93"/>
        <v>48</v>
      </c>
      <c r="BF150" s="25">
        <f t="shared" si="94"/>
        <v>-48</v>
      </c>
    </row>
    <row r="151" spans="1:58" s="25" customFormat="1" ht="15" customHeight="1" x14ac:dyDescent="0.25">
      <c r="A151" s="38" t="s">
        <v>227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64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43"/>
      <c r="Y151" s="23"/>
      <c r="Z151" s="23"/>
      <c r="AA151" s="23"/>
      <c r="AB151" s="24">
        <f t="shared" si="65"/>
        <v>0</v>
      </c>
      <c r="AC151" s="24">
        <f t="shared" si="66"/>
        <v>2</v>
      </c>
      <c r="AD151" s="25">
        <v>17.600000000000001</v>
      </c>
      <c r="AE151" s="25">
        <f t="shared" si="67"/>
        <v>35.200000000000003</v>
      </c>
      <c r="AF151" s="25">
        <f t="shared" si="68"/>
        <v>0</v>
      </c>
      <c r="AG151" s="25">
        <f t="shared" si="69"/>
        <v>0</v>
      </c>
      <c r="AH151" s="25">
        <f t="shared" si="70"/>
        <v>0</v>
      </c>
      <c r="AI151" s="25">
        <f t="shared" si="71"/>
        <v>0</v>
      </c>
      <c r="AJ151" s="25">
        <f t="shared" si="72"/>
        <v>0</v>
      </c>
      <c r="AK151" s="25">
        <f t="shared" si="73"/>
        <v>0</v>
      </c>
      <c r="AL151" s="25">
        <f t="shared" si="74"/>
        <v>0</v>
      </c>
      <c r="AM151" s="25">
        <f t="shared" si="75"/>
        <v>35.200000000000003</v>
      </c>
      <c r="AN151" s="25">
        <f t="shared" si="76"/>
        <v>0</v>
      </c>
      <c r="AO151" s="25">
        <f t="shared" si="77"/>
        <v>0</v>
      </c>
      <c r="AP151" s="25">
        <f t="shared" si="78"/>
        <v>0</v>
      </c>
      <c r="AQ151" s="25">
        <f t="shared" si="79"/>
        <v>0</v>
      </c>
      <c r="AR151" s="25">
        <f t="shared" si="80"/>
        <v>0</v>
      </c>
      <c r="AS151" s="25">
        <f t="shared" si="81"/>
        <v>0</v>
      </c>
      <c r="AT151" s="25">
        <f t="shared" si="82"/>
        <v>0</v>
      </c>
      <c r="AU151" s="25">
        <f t="shared" si="83"/>
        <v>0</v>
      </c>
      <c r="AV151" s="25">
        <f t="shared" si="84"/>
        <v>0</v>
      </c>
      <c r="AW151" s="25">
        <f t="shared" si="85"/>
        <v>0</v>
      </c>
      <c r="AX151" s="25">
        <f t="shared" si="86"/>
        <v>0</v>
      </c>
      <c r="AY151" s="25">
        <f t="shared" si="87"/>
        <v>0</v>
      </c>
      <c r="AZ151" s="25">
        <f t="shared" si="88"/>
        <v>0</v>
      </c>
      <c r="BA151" s="25">
        <f t="shared" si="89"/>
        <v>0</v>
      </c>
      <c r="BB151" s="25">
        <f t="shared" si="90"/>
        <v>0</v>
      </c>
      <c r="BC151" s="25">
        <f t="shared" si="91"/>
        <v>0</v>
      </c>
      <c r="BD151" s="25">
        <f t="shared" si="92"/>
        <v>0</v>
      </c>
      <c r="BE151" s="25">
        <f t="shared" si="93"/>
        <v>0</v>
      </c>
      <c r="BF151" s="25">
        <f t="shared" si="94"/>
        <v>35.200000000000003</v>
      </c>
    </row>
    <row r="152" spans="1:58" s="25" customFormat="1" ht="15" customHeight="1" x14ac:dyDescent="0.25">
      <c r="A152" s="38" t="s">
        <v>228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64"/>
        <v>0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/>
      <c r="S152" s="23"/>
      <c r="T152" s="23">
        <v>0</v>
      </c>
      <c r="U152" s="23"/>
      <c r="V152" s="23"/>
      <c r="W152" s="23"/>
      <c r="X152" s="43"/>
      <c r="Y152" s="23"/>
      <c r="Z152" s="23"/>
      <c r="AA152" s="23"/>
      <c r="AB152" s="24">
        <f t="shared" si="65"/>
        <v>12</v>
      </c>
      <c r="AC152" s="24">
        <f t="shared" si="66"/>
        <v>-12</v>
      </c>
      <c r="AD152" s="25">
        <v>20</v>
      </c>
      <c r="AE152" s="25">
        <f t="shared" si="67"/>
        <v>0</v>
      </c>
      <c r="AF152" s="25">
        <f t="shared" si="68"/>
        <v>360</v>
      </c>
      <c r="AG152" s="25">
        <f t="shared" si="69"/>
        <v>0</v>
      </c>
      <c r="AH152" s="25">
        <f t="shared" si="70"/>
        <v>0</v>
      </c>
      <c r="AI152" s="25">
        <f t="shared" si="71"/>
        <v>0</v>
      </c>
      <c r="AJ152" s="25">
        <f t="shared" si="72"/>
        <v>0</v>
      </c>
      <c r="AK152" s="25">
        <f t="shared" si="73"/>
        <v>0</v>
      </c>
      <c r="AL152" s="25">
        <f t="shared" si="74"/>
        <v>0</v>
      </c>
      <c r="AM152" s="25">
        <f t="shared" si="75"/>
        <v>0</v>
      </c>
      <c r="AN152" s="25">
        <f t="shared" si="76"/>
        <v>0</v>
      </c>
      <c r="AO152" s="25">
        <f t="shared" si="77"/>
        <v>180</v>
      </c>
      <c r="AP152" s="25">
        <f t="shared" si="78"/>
        <v>0</v>
      </c>
      <c r="AQ152" s="25">
        <f t="shared" si="79"/>
        <v>0</v>
      </c>
      <c r="AR152" s="25">
        <f t="shared" si="80"/>
        <v>0</v>
      </c>
      <c r="AS152" s="25">
        <f t="shared" si="81"/>
        <v>0</v>
      </c>
      <c r="AT152" s="25">
        <f t="shared" si="82"/>
        <v>60</v>
      </c>
      <c r="AU152" s="25">
        <f t="shared" si="83"/>
        <v>0</v>
      </c>
      <c r="AV152" s="25">
        <f t="shared" si="84"/>
        <v>0</v>
      </c>
      <c r="AW152" s="25">
        <f t="shared" si="85"/>
        <v>0</v>
      </c>
      <c r="AX152" s="25">
        <f t="shared" si="86"/>
        <v>0</v>
      </c>
      <c r="AY152" s="25">
        <f t="shared" si="87"/>
        <v>0</v>
      </c>
      <c r="AZ152" s="25">
        <f t="shared" si="88"/>
        <v>0</v>
      </c>
      <c r="BA152" s="25">
        <f t="shared" si="89"/>
        <v>0</v>
      </c>
      <c r="BB152" s="25">
        <f t="shared" si="90"/>
        <v>0</v>
      </c>
      <c r="BC152" s="25">
        <f t="shared" si="91"/>
        <v>0</v>
      </c>
      <c r="BD152" s="25">
        <f t="shared" si="92"/>
        <v>0</v>
      </c>
      <c r="BE152" s="25">
        <f t="shared" si="93"/>
        <v>240</v>
      </c>
      <c r="BF152" s="25">
        <f t="shared" si="94"/>
        <v>-240</v>
      </c>
    </row>
    <row r="153" spans="1:58" s="25" customFormat="1" ht="15" customHeight="1" x14ac:dyDescent="0.25">
      <c r="A153" s="38" t="s">
        <v>229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64"/>
        <v>18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/>
      <c r="S153" s="23"/>
      <c r="T153" s="23"/>
      <c r="U153" s="23"/>
      <c r="V153" s="23"/>
      <c r="W153" s="23"/>
      <c r="X153" s="43"/>
      <c r="Y153" s="23"/>
      <c r="Z153" s="23"/>
      <c r="AA153" s="23"/>
      <c r="AB153" s="24">
        <f t="shared" si="65"/>
        <v>86</v>
      </c>
      <c r="AC153" s="24">
        <f t="shared" si="66"/>
        <v>-68</v>
      </c>
      <c r="AD153" s="25">
        <v>24</v>
      </c>
      <c r="AE153" s="25">
        <f t="shared" si="67"/>
        <v>432</v>
      </c>
      <c r="AF153" s="25">
        <f t="shared" si="68"/>
        <v>1128</v>
      </c>
      <c r="AG153" s="25">
        <f t="shared" si="69"/>
        <v>0</v>
      </c>
      <c r="AH153" s="25">
        <f t="shared" si="70"/>
        <v>0</v>
      </c>
      <c r="AI153" s="25">
        <f t="shared" si="71"/>
        <v>0</v>
      </c>
      <c r="AJ153" s="25">
        <f t="shared" si="72"/>
        <v>0</v>
      </c>
      <c r="AK153" s="25">
        <f t="shared" si="73"/>
        <v>0</v>
      </c>
      <c r="AL153" s="25">
        <f t="shared" si="74"/>
        <v>0</v>
      </c>
      <c r="AM153" s="25">
        <f t="shared" si="75"/>
        <v>432</v>
      </c>
      <c r="AN153" s="25">
        <f t="shared" si="76"/>
        <v>0</v>
      </c>
      <c r="AO153" s="25">
        <f t="shared" si="77"/>
        <v>576</v>
      </c>
      <c r="AP153" s="25">
        <f t="shared" si="78"/>
        <v>1056</v>
      </c>
      <c r="AQ153" s="25">
        <f t="shared" si="79"/>
        <v>0</v>
      </c>
      <c r="AR153" s="25">
        <f t="shared" si="80"/>
        <v>0</v>
      </c>
      <c r="AS153" s="25">
        <f t="shared" si="81"/>
        <v>0</v>
      </c>
      <c r="AT153" s="25">
        <f t="shared" si="82"/>
        <v>432</v>
      </c>
      <c r="AU153" s="25">
        <f t="shared" si="83"/>
        <v>0</v>
      </c>
      <c r="AV153" s="25">
        <f t="shared" si="84"/>
        <v>0</v>
      </c>
      <c r="AW153" s="25">
        <f t="shared" si="85"/>
        <v>0</v>
      </c>
      <c r="AX153" s="25">
        <f t="shared" si="86"/>
        <v>0</v>
      </c>
      <c r="AY153" s="25">
        <f t="shared" si="87"/>
        <v>0</v>
      </c>
      <c r="AZ153" s="25">
        <f t="shared" si="88"/>
        <v>0</v>
      </c>
      <c r="BA153" s="25">
        <f t="shared" si="89"/>
        <v>0</v>
      </c>
      <c r="BB153" s="25">
        <f t="shared" si="90"/>
        <v>0</v>
      </c>
      <c r="BC153" s="25">
        <f t="shared" si="91"/>
        <v>0</v>
      </c>
      <c r="BD153" s="25">
        <f t="shared" si="92"/>
        <v>0</v>
      </c>
      <c r="BE153" s="25">
        <f t="shared" si="93"/>
        <v>2064</v>
      </c>
      <c r="BF153" s="25">
        <f t="shared" si="94"/>
        <v>-1632</v>
      </c>
    </row>
    <row r="154" spans="1:58" s="25" customFormat="1" ht="15" customHeight="1" x14ac:dyDescent="0.25">
      <c r="A154" s="38" t="s">
        <v>230</v>
      </c>
      <c r="B154" s="38">
        <v>1644</v>
      </c>
      <c r="C154" s="27">
        <v>11</v>
      </c>
      <c r="D154" s="27"/>
      <c r="E154" s="20"/>
      <c r="F154" s="20">
        <v>18</v>
      </c>
      <c r="G154" s="20"/>
      <c r="H154" s="20">
        <v>16</v>
      </c>
      <c r="I154" s="20">
        <v>5</v>
      </c>
      <c r="J154" s="20">
        <f t="shared" si="64"/>
        <v>1644</v>
      </c>
      <c r="K154" s="21"/>
      <c r="L154" s="23"/>
      <c r="M154" s="23"/>
      <c r="N154" s="43"/>
      <c r="O154" s="43"/>
      <c r="P154" s="23"/>
      <c r="Q154" s="23"/>
      <c r="R154" s="23">
        <v>528</v>
      </c>
      <c r="S154" s="23"/>
      <c r="T154" s="23"/>
      <c r="U154" s="23">
        <v>347</v>
      </c>
      <c r="V154" s="23"/>
      <c r="W154" s="23"/>
      <c r="X154" s="43"/>
      <c r="Y154" s="23"/>
      <c r="Z154" s="23">
        <v>250</v>
      </c>
      <c r="AA154" s="23">
        <v>145</v>
      </c>
      <c r="AB154" s="24">
        <f t="shared" si="65"/>
        <v>528</v>
      </c>
      <c r="AC154" s="24">
        <f t="shared" si="66"/>
        <v>1116</v>
      </c>
      <c r="AD154" s="25">
        <v>1.82</v>
      </c>
      <c r="AE154" s="25">
        <f t="shared" si="67"/>
        <v>2992.08</v>
      </c>
      <c r="AF154" s="25">
        <f t="shared" si="68"/>
        <v>20.02</v>
      </c>
      <c r="AG154" s="25">
        <f t="shared" si="69"/>
        <v>0</v>
      </c>
      <c r="AH154" s="25">
        <f t="shared" si="70"/>
        <v>0</v>
      </c>
      <c r="AI154" s="25">
        <f t="shared" si="71"/>
        <v>32.76</v>
      </c>
      <c r="AJ154" s="25">
        <f t="shared" si="72"/>
        <v>0</v>
      </c>
      <c r="AK154" s="25">
        <f t="shared" si="73"/>
        <v>29.12</v>
      </c>
      <c r="AL154" s="25">
        <f t="shared" si="74"/>
        <v>9.1</v>
      </c>
      <c r="AM154" s="25">
        <f t="shared" si="75"/>
        <v>2992.08</v>
      </c>
      <c r="AN154" s="25">
        <f t="shared" si="76"/>
        <v>0</v>
      </c>
      <c r="AO154" s="25">
        <f t="shared" si="77"/>
        <v>0</v>
      </c>
      <c r="AP154" s="25">
        <f t="shared" si="78"/>
        <v>0</v>
      </c>
      <c r="AQ154" s="25">
        <f t="shared" si="79"/>
        <v>0</v>
      </c>
      <c r="AR154" s="25">
        <f t="shared" si="80"/>
        <v>0</v>
      </c>
      <c r="AS154" s="25">
        <f t="shared" si="81"/>
        <v>0</v>
      </c>
      <c r="AT154" s="25">
        <f t="shared" si="82"/>
        <v>0</v>
      </c>
      <c r="AU154" s="25">
        <f t="shared" si="83"/>
        <v>960.96</v>
      </c>
      <c r="AV154" s="25">
        <f t="shared" si="84"/>
        <v>0</v>
      </c>
      <c r="AW154" s="25">
        <f t="shared" si="85"/>
        <v>0</v>
      </c>
      <c r="AX154" s="25">
        <f t="shared" si="86"/>
        <v>631.54000000000008</v>
      </c>
      <c r="AY154" s="25">
        <f t="shared" si="87"/>
        <v>0</v>
      </c>
      <c r="AZ154" s="25">
        <f t="shared" si="88"/>
        <v>0</v>
      </c>
      <c r="BA154" s="25">
        <f t="shared" si="89"/>
        <v>0</v>
      </c>
      <c r="BB154" s="25">
        <f t="shared" si="90"/>
        <v>0</v>
      </c>
      <c r="BC154" s="25">
        <f t="shared" si="91"/>
        <v>455</v>
      </c>
      <c r="BD154" s="25">
        <f t="shared" si="92"/>
        <v>263.90000000000003</v>
      </c>
      <c r="BE154" s="25">
        <f t="shared" si="93"/>
        <v>960.96</v>
      </c>
      <c r="BF154" s="25">
        <f t="shared" si="94"/>
        <v>2031.1200000000001</v>
      </c>
    </row>
    <row r="155" spans="1:58" s="25" customFormat="1" ht="15" customHeight="1" x14ac:dyDescent="0.25">
      <c r="A155" s="38" t="s">
        <v>231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64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43"/>
      <c r="Y155" s="23"/>
      <c r="Z155" s="23"/>
      <c r="AA155" s="23"/>
      <c r="AB155" s="24">
        <f t="shared" si="65"/>
        <v>0</v>
      </c>
      <c r="AC155" s="24">
        <f t="shared" si="66"/>
        <v>0</v>
      </c>
      <c r="AD155" s="25">
        <v>1.82</v>
      </c>
      <c r="AE155" s="25">
        <f t="shared" si="67"/>
        <v>0</v>
      </c>
      <c r="AF155" s="25">
        <f t="shared" si="68"/>
        <v>0</v>
      </c>
      <c r="AG155" s="25">
        <f t="shared" si="69"/>
        <v>0</v>
      </c>
      <c r="AH155" s="25">
        <f t="shared" si="70"/>
        <v>0</v>
      </c>
      <c r="AI155" s="25">
        <f t="shared" si="71"/>
        <v>0</v>
      </c>
      <c r="AJ155" s="25">
        <f t="shared" si="72"/>
        <v>0</v>
      </c>
      <c r="AK155" s="25">
        <f t="shared" si="73"/>
        <v>0</v>
      </c>
      <c r="AL155" s="25">
        <f t="shared" si="74"/>
        <v>0</v>
      </c>
      <c r="AM155" s="25">
        <f t="shared" si="75"/>
        <v>0</v>
      </c>
      <c r="AN155" s="25">
        <f t="shared" si="76"/>
        <v>0</v>
      </c>
      <c r="AO155" s="25">
        <f t="shared" si="77"/>
        <v>0</v>
      </c>
      <c r="AP155" s="25">
        <f t="shared" si="78"/>
        <v>0</v>
      </c>
      <c r="AQ155" s="25">
        <f t="shared" si="79"/>
        <v>0</v>
      </c>
      <c r="AR155" s="25">
        <f t="shared" si="80"/>
        <v>0</v>
      </c>
      <c r="AS155" s="25">
        <f t="shared" si="81"/>
        <v>0</v>
      </c>
      <c r="AT155" s="25">
        <f t="shared" si="82"/>
        <v>0</v>
      </c>
      <c r="AU155" s="25">
        <f t="shared" si="83"/>
        <v>0</v>
      </c>
      <c r="AV155" s="25">
        <f t="shared" si="84"/>
        <v>0</v>
      </c>
      <c r="AW155" s="25">
        <f t="shared" si="85"/>
        <v>0</v>
      </c>
      <c r="AX155" s="25">
        <f t="shared" si="86"/>
        <v>0</v>
      </c>
      <c r="AY155" s="25">
        <f t="shared" si="87"/>
        <v>0</v>
      </c>
      <c r="AZ155" s="25">
        <f t="shared" si="88"/>
        <v>0</v>
      </c>
      <c r="BA155" s="25">
        <f t="shared" si="89"/>
        <v>0</v>
      </c>
      <c r="BB155" s="25">
        <f t="shared" si="90"/>
        <v>0</v>
      </c>
      <c r="BC155" s="25">
        <f t="shared" si="91"/>
        <v>0</v>
      </c>
      <c r="BD155" s="25">
        <f t="shared" si="92"/>
        <v>0</v>
      </c>
      <c r="BE155" s="25">
        <f t="shared" si="93"/>
        <v>0</v>
      </c>
      <c r="BF155" s="25">
        <f t="shared" si="94"/>
        <v>0</v>
      </c>
    </row>
    <row r="156" spans="1:58" s="25" customFormat="1" ht="15" customHeight="1" x14ac:dyDescent="0.25">
      <c r="A156" s="38" t="s">
        <v>232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>
        <f t="shared" si="64"/>
        <v>58</v>
      </c>
      <c r="K156" s="21"/>
      <c r="L156" s="23"/>
      <c r="M156" s="23"/>
      <c r="N156" s="43"/>
      <c r="O156" s="43"/>
      <c r="P156" s="23"/>
      <c r="Q156" s="23">
        <v>7</v>
      </c>
      <c r="R156" s="23"/>
      <c r="S156" s="23"/>
      <c r="T156" s="23"/>
      <c r="U156" s="23"/>
      <c r="V156" s="23"/>
      <c r="W156" s="23"/>
      <c r="X156" s="43"/>
      <c r="Y156" s="23"/>
      <c r="Z156" s="23"/>
      <c r="AA156" s="23"/>
      <c r="AB156" s="24">
        <f t="shared" si="65"/>
        <v>7</v>
      </c>
      <c r="AC156" s="24">
        <f t="shared" si="66"/>
        <v>51</v>
      </c>
      <c r="AD156" s="25">
        <v>5.32</v>
      </c>
      <c r="AE156" s="25">
        <f t="shared" si="67"/>
        <v>0</v>
      </c>
      <c r="AF156" s="25">
        <f t="shared" si="68"/>
        <v>21.28</v>
      </c>
      <c r="AG156" s="25">
        <f t="shared" si="69"/>
        <v>0</v>
      </c>
      <c r="AH156" s="25">
        <f t="shared" si="70"/>
        <v>308.56</v>
      </c>
      <c r="AI156" s="25">
        <f t="shared" si="71"/>
        <v>0</v>
      </c>
      <c r="AJ156" s="25">
        <f t="shared" si="72"/>
        <v>0</v>
      </c>
      <c r="AK156" s="25">
        <f t="shared" si="73"/>
        <v>0</v>
      </c>
      <c r="AL156" s="25">
        <f t="shared" si="74"/>
        <v>0</v>
      </c>
      <c r="AM156" s="25">
        <f t="shared" si="75"/>
        <v>308.56</v>
      </c>
      <c r="AN156" s="25">
        <f t="shared" si="76"/>
        <v>0</v>
      </c>
      <c r="AO156" s="25">
        <f t="shared" si="77"/>
        <v>0</v>
      </c>
      <c r="AP156" s="25">
        <f t="shared" si="78"/>
        <v>0</v>
      </c>
      <c r="AQ156" s="25">
        <f t="shared" si="79"/>
        <v>0</v>
      </c>
      <c r="AR156" s="25">
        <f t="shared" si="80"/>
        <v>0</v>
      </c>
      <c r="AS156" s="25">
        <f t="shared" si="81"/>
        <v>0</v>
      </c>
      <c r="AT156" s="25">
        <f t="shared" si="82"/>
        <v>37.24</v>
      </c>
      <c r="AU156" s="25">
        <f t="shared" si="83"/>
        <v>0</v>
      </c>
      <c r="AV156" s="25">
        <f t="shared" si="84"/>
        <v>0</v>
      </c>
      <c r="AW156" s="25">
        <f t="shared" si="85"/>
        <v>0</v>
      </c>
      <c r="AX156" s="25">
        <f t="shared" si="86"/>
        <v>0</v>
      </c>
      <c r="AY156" s="25">
        <f t="shared" si="87"/>
        <v>0</v>
      </c>
      <c r="AZ156" s="25">
        <f t="shared" si="88"/>
        <v>0</v>
      </c>
      <c r="BA156" s="25">
        <f t="shared" si="89"/>
        <v>0</v>
      </c>
      <c r="BB156" s="25">
        <f t="shared" si="90"/>
        <v>0</v>
      </c>
      <c r="BC156" s="25">
        <f t="shared" si="91"/>
        <v>0</v>
      </c>
      <c r="BD156" s="25">
        <f t="shared" si="92"/>
        <v>0</v>
      </c>
      <c r="BE156" s="25">
        <f t="shared" si="93"/>
        <v>37.24</v>
      </c>
      <c r="BF156" s="25">
        <f t="shared" si="94"/>
        <v>271.32</v>
      </c>
    </row>
    <row r="157" spans="1:58" s="25" customFormat="1" ht="15" customHeight="1" x14ac:dyDescent="0.25">
      <c r="A157" s="38" t="s">
        <v>233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64"/>
        <v>0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43"/>
      <c r="Y157" s="23"/>
      <c r="Z157" s="23"/>
      <c r="AA157" s="23"/>
      <c r="AB157" s="24">
        <f t="shared" si="65"/>
        <v>0</v>
      </c>
      <c r="AC157" s="24">
        <f t="shared" si="66"/>
        <v>0</v>
      </c>
      <c r="AD157" s="25">
        <v>7.48</v>
      </c>
      <c r="AE157" s="25">
        <f t="shared" si="67"/>
        <v>0</v>
      </c>
      <c r="AF157" s="25">
        <f t="shared" si="68"/>
        <v>52.36</v>
      </c>
      <c r="AG157" s="25">
        <f t="shared" si="69"/>
        <v>0</v>
      </c>
      <c r="AH157" s="25">
        <f t="shared" si="70"/>
        <v>0</v>
      </c>
      <c r="AI157" s="25">
        <f t="shared" si="71"/>
        <v>0</v>
      </c>
      <c r="AJ157" s="25">
        <f t="shared" si="72"/>
        <v>0</v>
      </c>
      <c r="AK157" s="25">
        <f t="shared" si="73"/>
        <v>0</v>
      </c>
      <c r="AL157" s="25">
        <f t="shared" si="74"/>
        <v>0</v>
      </c>
      <c r="AM157" s="25">
        <f t="shared" si="75"/>
        <v>0</v>
      </c>
      <c r="AN157" s="25">
        <f t="shared" si="76"/>
        <v>0</v>
      </c>
      <c r="AO157" s="25">
        <f t="shared" si="77"/>
        <v>0</v>
      </c>
      <c r="AP157" s="25">
        <f t="shared" si="78"/>
        <v>0</v>
      </c>
      <c r="AQ157" s="25">
        <f t="shared" si="79"/>
        <v>0</v>
      </c>
      <c r="AR157" s="25">
        <f t="shared" si="80"/>
        <v>0</v>
      </c>
      <c r="AS157" s="25">
        <f t="shared" si="81"/>
        <v>0</v>
      </c>
      <c r="AT157" s="25">
        <f t="shared" si="82"/>
        <v>0</v>
      </c>
      <c r="AU157" s="25">
        <f t="shared" si="83"/>
        <v>0</v>
      </c>
      <c r="AV157" s="25">
        <f t="shared" si="84"/>
        <v>0</v>
      </c>
      <c r="AW157" s="25">
        <f t="shared" si="85"/>
        <v>0</v>
      </c>
      <c r="AX157" s="25">
        <f t="shared" si="86"/>
        <v>0</v>
      </c>
      <c r="AY157" s="25">
        <f t="shared" si="87"/>
        <v>0</v>
      </c>
      <c r="AZ157" s="25">
        <f t="shared" si="88"/>
        <v>0</v>
      </c>
      <c r="BA157" s="25">
        <f t="shared" si="89"/>
        <v>0</v>
      </c>
      <c r="BB157" s="25">
        <f t="shared" si="90"/>
        <v>0</v>
      </c>
      <c r="BC157" s="25">
        <f t="shared" si="91"/>
        <v>0</v>
      </c>
      <c r="BD157" s="25">
        <f t="shared" si="92"/>
        <v>0</v>
      </c>
      <c r="BE157" s="25">
        <f t="shared" si="93"/>
        <v>0</v>
      </c>
      <c r="BF157" s="25">
        <f t="shared" si="94"/>
        <v>0</v>
      </c>
    </row>
    <row r="158" spans="1:58" s="25" customFormat="1" ht="15" customHeight="1" x14ac:dyDescent="0.25">
      <c r="A158" s="38" t="s">
        <v>234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64"/>
        <v>0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43"/>
      <c r="Y158" s="23"/>
      <c r="Z158" s="23"/>
      <c r="AA158" s="23"/>
      <c r="AB158" s="24">
        <f t="shared" si="65"/>
        <v>0</v>
      </c>
      <c r="AC158" s="24">
        <f t="shared" si="66"/>
        <v>0</v>
      </c>
      <c r="AD158" s="25">
        <v>10.64</v>
      </c>
      <c r="AE158" s="25">
        <f t="shared" si="67"/>
        <v>0</v>
      </c>
      <c r="AF158" s="25">
        <f t="shared" si="68"/>
        <v>191.52</v>
      </c>
      <c r="AG158" s="25">
        <f t="shared" si="69"/>
        <v>0</v>
      </c>
      <c r="AH158" s="25">
        <f t="shared" si="70"/>
        <v>0</v>
      </c>
      <c r="AI158" s="25">
        <f t="shared" si="71"/>
        <v>0</v>
      </c>
      <c r="AJ158" s="25">
        <f t="shared" si="72"/>
        <v>0</v>
      </c>
      <c r="AK158" s="25">
        <f t="shared" si="73"/>
        <v>0</v>
      </c>
      <c r="AL158" s="25">
        <f t="shared" si="74"/>
        <v>0</v>
      </c>
      <c r="AM158" s="25">
        <f t="shared" si="75"/>
        <v>0</v>
      </c>
      <c r="AN158" s="25">
        <f t="shared" si="76"/>
        <v>0</v>
      </c>
      <c r="AO158" s="25">
        <f t="shared" si="77"/>
        <v>0</v>
      </c>
      <c r="AP158" s="25">
        <f t="shared" si="78"/>
        <v>0</v>
      </c>
      <c r="AQ158" s="25">
        <f t="shared" si="79"/>
        <v>0</v>
      </c>
      <c r="AR158" s="25">
        <f t="shared" si="80"/>
        <v>0</v>
      </c>
      <c r="AS158" s="25">
        <f t="shared" si="81"/>
        <v>0</v>
      </c>
      <c r="AT158" s="25">
        <f t="shared" si="82"/>
        <v>0</v>
      </c>
      <c r="AU158" s="25">
        <f t="shared" si="83"/>
        <v>0</v>
      </c>
      <c r="AV158" s="25">
        <f t="shared" si="84"/>
        <v>0</v>
      </c>
      <c r="AW158" s="25">
        <f t="shared" si="85"/>
        <v>0</v>
      </c>
      <c r="AX158" s="25">
        <f t="shared" si="86"/>
        <v>0</v>
      </c>
      <c r="AY158" s="25">
        <f t="shared" si="87"/>
        <v>0</v>
      </c>
      <c r="AZ158" s="25">
        <f t="shared" si="88"/>
        <v>0</v>
      </c>
      <c r="BA158" s="25">
        <f t="shared" si="89"/>
        <v>0</v>
      </c>
      <c r="BB158" s="25">
        <f t="shared" si="90"/>
        <v>0</v>
      </c>
      <c r="BC158" s="25">
        <f t="shared" si="91"/>
        <v>0</v>
      </c>
      <c r="BD158" s="25">
        <f t="shared" si="92"/>
        <v>0</v>
      </c>
      <c r="BE158" s="25">
        <f t="shared" si="93"/>
        <v>0</v>
      </c>
      <c r="BF158" s="25">
        <f t="shared" si="94"/>
        <v>0</v>
      </c>
    </row>
    <row r="159" spans="1:58" s="25" customFormat="1" ht="15" customHeight="1" x14ac:dyDescent="0.25">
      <c r="A159" s="38" t="s">
        <v>235</v>
      </c>
      <c r="B159" s="38">
        <v>0</v>
      </c>
      <c r="C159" s="27">
        <v>30</v>
      </c>
      <c r="D159" s="27"/>
      <c r="E159" s="20">
        <v>58</v>
      </c>
      <c r="F159" s="20">
        <v>36</v>
      </c>
      <c r="G159" s="20"/>
      <c r="H159" s="20"/>
      <c r="I159" s="20"/>
      <c r="J159" s="20">
        <f t="shared" si="64"/>
        <v>58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43"/>
      <c r="Y159" s="23"/>
      <c r="Z159" s="23"/>
      <c r="AA159" s="23"/>
      <c r="AB159" s="24">
        <f t="shared" si="65"/>
        <v>41</v>
      </c>
      <c r="AC159" s="24">
        <f t="shared" si="66"/>
        <v>17</v>
      </c>
      <c r="AD159" s="25">
        <v>13.3</v>
      </c>
      <c r="AE159" s="25">
        <f t="shared" si="67"/>
        <v>0</v>
      </c>
      <c r="AF159" s="25">
        <f t="shared" si="68"/>
        <v>399</v>
      </c>
      <c r="AG159" s="25">
        <f t="shared" si="69"/>
        <v>0</v>
      </c>
      <c r="AH159" s="25">
        <f t="shared" si="70"/>
        <v>771.40000000000009</v>
      </c>
      <c r="AI159" s="25">
        <f t="shared" si="71"/>
        <v>478.8</v>
      </c>
      <c r="AJ159" s="25">
        <f t="shared" si="72"/>
        <v>0</v>
      </c>
      <c r="AK159" s="25">
        <f t="shared" si="73"/>
        <v>0</v>
      </c>
      <c r="AL159" s="25">
        <f t="shared" si="74"/>
        <v>0</v>
      </c>
      <c r="AM159" s="25">
        <f t="shared" si="75"/>
        <v>771.40000000000009</v>
      </c>
      <c r="AN159" s="25">
        <f t="shared" si="76"/>
        <v>0</v>
      </c>
      <c r="AO159" s="25">
        <f t="shared" si="77"/>
        <v>399</v>
      </c>
      <c r="AP159" s="25">
        <f t="shared" si="78"/>
        <v>0</v>
      </c>
      <c r="AQ159" s="25">
        <f t="shared" si="79"/>
        <v>0</v>
      </c>
      <c r="AR159" s="25">
        <f t="shared" si="80"/>
        <v>0</v>
      </c>
      <c r="AS159" s="25">
        <f t="shared" si="81"/>
        <v>0</v>
      </c>
      <c r="AT159" s="25">
        <f t="shared" si="82"/>
        <v>146.30000000000001</v>
      </c>
      <c r="AU159" s="25">
        <f t="shared" si="83"/>
        <v>0</v>
      </c>
      <c r="AV159" s="25">
        <f t="shared" si="84"/>
        <v>0</v>
      </c>
      <c r="AW159" s="25">
        <f t="shared" si="85"/>
        <v>0</v>
      </c>
      <c r="AX159" s="25">
        <f t="shared" si="86"/>
        <v>0</v>
      </c>
      <c r="AY159" s="25">
        <f t="shared" si="87"/>
        <v>0</v>
      </c>
      <c r="AZ159" s="25">
        <f t="shared" si="88"/>
        <v>0</v>
      </c>
      <c r="BA159" s="25">
        <f t="shared" si="89"/>
        <v>0</v>
      </c>
      <c r="BB159" s="25">
        <f t="shared" si="90"/>
        <v>0</v>
      </c>
      <c r="BC159" s="25">
        <f t="shared" si="91"/>
        <v>0</v>
      </c>
      <c r="BD159" s="25">
        <f t="shared" si="92"/>
        <v>0</v>
      </c>
      <c r="BE159" s="25">
        <f t="shared" si="93"/>
        <v>545.30000000000007</v>
      </c>
      <c r="BF159" s="25">
        <f t="shared" si="94"/>
        <v>226.10000000000002</v>
      </c>
    </row>
    <row r="160" spans="1:58" s="25" customFormat="1" ht="15" customHeight="1" x14ac:dyDescent="0.25">
      <c r="A160" s="38" t="s">
        <v>236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>
        <f t="shared" si="64"/>
        <v>82</v>
      </c>
      <c r="K160" s="21"/>
      <c r="L160" s="23">
        <v>90</v>
      </c>
      <c r="M160" s="23"/>
      <c r="N160" s="43"/>
      <c r="O160" s="43"/>
      <c r="P160" s="23"/>
      <c r="Q160" s="23"/>
      <c r="R160" s="23"/>
      <c r="S160" s="23"/>
      <c r="T160" s="23"/>
      <c r="U160" s="23"/>
      <c r="V160" s="23"/>
      <c r="W160" s="23"/>
      <c r="X160" s="43"/>
      <c r="Y160" s="23"/>
      <c r="Z160" s="23"/>
      <c r="AA160" s="23"/>
      <c r="AB160" s="24">
        <f t="shared" si="65"/>
        <v>90</v>
      </c>
      <c r="AC160" s="24">
        <f t="shared" si="66"/>
        <v>-8</v>
      </c>
      <c r="AD160" s="25">
        <v>15.96</v>
      </c>
      <c r="AE160" s="25">
        <f t="shared" si="67"/>
        <v>0</v>
      </c>
      <c r="AF160" s="25">
        <f t="shared" si="68"/>
        <v>1803.48</v>
      </c>
      <c r="AG160" s="25">
        <f t="shared" si="69"/>
        <v>0</v>
      </c>
      <c r="AH160" s="25">
        <f t="shared" si="70"/>
        <v>1308.72</v>
      </c>
      <c r="AI160" s="25">
        <f t="shared" si="71"/>
        <v>0</v>
      </c>
      <c r="AJ160" s="25">
        <f t="shared" si="72"/>
        <v>0</v>
      </c>
      <c r="AK160" s="25">
        <f t="shared" si="73"/>
        <v>0</v>
      </c>
      <c r="AL160" s="25">
        <f t="shared" si="74"/>
        <v>0</v>
      </c>
      <c r="AM160" s="25">
        <f t="shared" si="75"/>
        <v>1308.72</v>
      </c>
      <c r="AN160" s="25">
        <f t="shared" si="76"/>
        <v>0</v>
      </c>
      <c r="AO160" s="25">
        <f t="shared" si="77"/>
        <v>1436.4</v>
      </c>
      <c r="AP160" s="25">
        <f t="shared" si="78"/>
        <v>0</v>
      </c>
      <c r="AQ160" s="25">
        <f t="shared" si="79"/>
        <v>0</v>
      </c>
      <c r="AR160" s="25">
        <f t="shared" si="80"/>
        <v>0</v>
      </c>
      <c r="AS160" s="25">
        <f t="shared" si="81"/>
        <v>0</v>
      </c>
      <c r="AT160" s="25">
        <f t="shared" si="82"/>
        <v>0</v>
      </c>
      <c r="AU160" s="25">
        <f t="shared" si="83"/>
        <v>0</v>
      </c>
      <c r="AV160" s="25">
        <f t="shared" si="84"/>
        <v>0</v>
      </c>
      <c r="AW160" s="25">
        <f t="shared" si="85"/>
        <v>0</v>
      </c>
      <c r="AX160" s="25">
        <f t="shared" si="86"/>
        <v>0</v>
      </c>
      <c r="AY160" s="25">
        <f t="shared" si="87"/>
        <v>0</v>
      </c>
      <c r="AZ160" s="25">
        <f t="shared" si="88"/>
        <v>0</v>
      </c>
      <c r="BA160" s="25">
        <f t="shared" si="89"/>
        <v>0</v>
      </c>
      <c r="BB160" s="25">
        <f t="shared" si="90"/>
        <v>0</v>
      </c>
      <c r="BC160" s="25">
        <f t="shared" si="91"/>
        <v>0</v>
      </c>
      <c r="BD160" s="25">
        <f t="shared" si="92"/>
        <v>0</v>
      </c>
      <c r="BE160" s="25">
        <f t="shared" si="93"/>
        <v>1436.4</v>
      </c>
      <c r="BF160" s="25">
        <f t="shared" si="94"/>
        <v>-127.68</v>
      </c>
    </row>
    <row r="161" spans="1:58" s="25" customFormat="1" ht="15" customHeight="1" x14ac:dyDescent="0.25">
      <c r="A161" s="38" t="s">
        <v>237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64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>
        <v>1</v>
      </c>
      <c r="U161" s="23"/>
      <c r="V161" s="23"/>
      <c r="W161" s="23"/>
      <c r="X161" s="43"/>
      <c r="Y161" s="23"/>
      <c r="Z161" s="23"/>
      <c r="AA161" s="23"/>
      <c r="AB161" s="24">
        <f t="shared" si="65"/>
        <v>0</v>
      </c>
      <c r="AC161" s="24">
        <f t="shared" si="66"/>
        <v>0</v>
      </c>
      <c r="AD161" s="25">
        <v>10.199999999999999</v>
      </c>
      <c r="AE161" s="25">
        <f t="shared" si="67"/>
        <v>0</v>
      </c>
      <c r="AF161" s="25">
        <f t="shared" si="68"/>
        <v>0</v>
      </c>
      <c r="AG161" s="25">
        <f t="shared" si="69"/>
        <v>0</v>
      </c>
      <c r="AH161" s="25">
        <f t="shared" si="70"/>
        <v>0</v>
      </c>
      <c r="AI161" s="25">
        <f t="shared" si="71"/>
        <v>0</v>
      </c>
      <c r="AJ161" s="25">
        <f t="shared" si="72"/>
        <v>0</v>
      </c>
      <c r="AK161" s="25">
        <f t="shared" si="73"/>
        <v>0</v>
      </c>
      <c r="AL161" s="25">
        <f t="shared" si="74"/>
        <v>0</v>
      </c>
      <c r="AM161" s="25">
        <f t="shared" si="75"/>
        <v>0</v>
      </c>
      <c r="AN161" s="25">
        <f t="shared" si="76"/>
        <v>0</v>
      </c>
      <c r="AO161" s="25">
        <f t="shared" si="77"/>
        <v>0</v>
      </c>
      <c r="AP161" s="25">
        <f t="shared" si="78"/>
        <v>0</v>
      </c>
      <c r="AQ161" s="25">
        <f t="shared" si="79"/>
        <v>0</v>
      </c>
      <c r="AR161" s="25">
        <f t="shared" si="80"/>
        <v>0</v>
      </c>
      <c r="AS161" s="25">
        <f t="shared" si="81"/>
        <v>0</v>
      </c>
      <c r="AT161" s="25">
        <f t="shared" si="82"/>
        <v>0</v>
      </c>
      <c r="AU161" s="25">
        <f t="shared" si="83"/>
        <v>0</v>
      </c>
      <c r="AV161" s="25">
        <f t="shared" si="84"/>
        <v>0</v>
      </c>
      <c r="AW161" s="25">
        <f t="shared" si="85"/>
        <v>10.199999999999999</v>
      </c>
      <c r="AX161" s="25">
        <f t="shared" si="86"/>
        <v>0</v>
      </c>
      <c r="AY161" s="25">
        <f t="shared" si="87"/>
        <v>0</v>
      </c>
      <c r="AZ161" s="25">
        <f t="shared" si="88"/>
        <v>0</v>
      </c>
      <c r="BA161" s="25">
        <f t="shared" si="89"/>
        <v>0</v>
      </c>
      <c r="BB161" s="25">
        <f t="shared" si="90"/>
        <v>0</v>
      </c>
      <c r="BC161" s="25">
        <f t="shared" si="91"/>
        <v>0</v>
      </c>
      <c r="BD161" s="25">
        <f t="shared" si="92"/>
        <v>0</v>
      </c>
      <c r="BE161" s="25">
        <f t="shared" si="93"/>
        <v>0</v>
      </c>
      <c r="BF161" s="25">
        <f t="shared" si="94"/>
        <v>0</v>
      </c>
    </row>
    <row r="162" spans="1:58" s="25" customFormat="1" ht="15" customHeight="1" x14ac:dyDescent="0.25">
      <c r="A162" s="38" t="s">
        <v>238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64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>
        <v>12</v>
      </c>
      <c r="U162" s="23"/>
      <c r="V162" s="23"/>
      <c r="W162" s="23"/>
      <c r="X162" s="43"/>
      <c r="Y162" s="23"/>
      <c r="Z162" s="23"/>
      <c r="AA162" s="23"/>
      <c r="AB162" s="24">
        <f t="shared" si="65"/>
        <v>0</v>
      </c>
      <c r="AC162" s="24">
        <f t="shared" si="66"/>
        <v>0</v>
      </c>
      <c r="AD162" s="25">
        <v>15.3</v>
      </c>
      <c r="AE162" s="25">
        <f t="shared" si="67"/>
        <v>0</v>
      </c>
      <c r="AF162" s="25">
        <f t="shared" si="68"/>
        <v>0</v>
      </c>
      <c r="AG162" s="25">
        <f t="shared" si="69"/>
        <v>0</v>
      </c>
      <c r="AH162" s="25">
        <f t="shared" si="70"/>
        <v>0</v>
      </c>
      <c r="AI162" s="25">
        <f t="shared" si="71"/>
        <v>0</v>
      </c>
      <c r="AJ162" s="25">
        <f t="shared" si="72"/>
        <v>0</v>
      </c>
      <c r="AK162" s="25">
        <f t="shared" si="73"/>
        <v>0</v>
      </c>
      <c r="AL162" s="25">
        <f t="shared" si="74"/>
        <v>0</v>
      </c>
      <c r="AM162" s="25">
        <f t="shared" si="75"/>
        <v>0</v>
      </c>
      <c r="AN162" s="25">
        <f t="shared" si="76"/>
        <v>0</v>
      </c>
      <c r="AO162" s="25">
        <f t="shared" si="77"/>
        <v>0</v>
      </c>
      <c r="AP162" s="25">
        <f t="shared" si="78"/>
        <v>0</v>
      </c>
      <c r="AQ162" s="25">
        <f t="shared" si="79"/>
        <v>0</v>
      </c>
      <c r="AR162" s="25">
        <f t="shared" si="80"/>
        <v>0</v>
      </c>
      <c r="AS162" s="25">
        <f t="shared" si="81"/>
        <v>0</v>
      </c>
      <c r="AT162" s="25">
        <f t="shared" si="82"/>
        <v>0</v>
      </c>
      <c r="AU162" s="25">
        <f t="shared" si="83"/>
        <v>0</v>
      </c>
      <c r="AV162" s="25">
        <f t="shared" si="84"/>
        <v>0</v>
      </c>
      <c r="AW162" s="25">
        <f t="shared" si="85"/>
        <v>183.60000000000002</v>
      </c>
      <c r="AX162" s="25">
        <f t="shared" si="86"/>
        <v>0</v>
      </c>
      <c r="AY162" s="25">
        <f t="shared" si="87"/>
        <v>0</v>
      </c>
      <c r="AZ162" s="25">
        <f t="shared" si="88"/>
        <v>0</v>
      </c>
      <c r="BA162" s="25">
        <f t="shared" si="89"/>
        <v>0</v>
      </c>
      <c r="BB162" s="25">
        <f t="shared" si="90"/>
        <v>0</v>
      </c>
      <c r="BC162" s="25">
        <f t="shared" si="91"/>
        <v>0</v>
      </c>
      <c r="BD162" s="25">
        <f t="shared" si="92"/>
        <v>0</v>
      </c>
      <c r="BE162" s="25">
        <f t="shared" si="93"/>
        <v>0</v>
      </c>
      <c r="BF162" s="25">
        <f t="shared" si="94"/>
        <v>0</v>
      </c>
    </row>
    <row r="163" spans="1:58" s="25" customFormat="1" ht="15" customHeight="1" x14ac:dyDescent="0.25">
      <c r="A163" s="38" t="s">
        <v>239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64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>
        <v>10</v>
      </c>
      <c r="U163" s="23"/>
      <c r="V163" s="23"/>
      <c r="W163" s="23"/>
      <c r="X163" s="43"/>
      <c r="Y163" s="23"/>
      <c r="Z163" s="23"/>
      <c r="AA163" s="23"/>
      <c r="AB163" s="24">
        <f t="shared" si="65"/>
        <v>0</v>
      </c>
      <c r="AC163" s="24">
        <f t="shared" si="66"/>
        <v>0</v>
      </c>
      <c r="AD163" s="25">
        <v>20.399999999999999</v>
      </c>
      <c r="AE163" s="25">
        <f t="shared" si="67"/>
        <v>0</v>
      </c>
      <c r="AF163" s="25">
        <f t="shared" si="68"/>
        <v>0</v>
      </c>
      <c r="AG163" s="25">
        <f t="shared" si="69"/>
        <v>0</v>
      </c>
      <c r="AH163" s="25">
        <f t="shared" si="70"/>
        <v>0</v>
      </c>
      <c r="AI163" s="25">
        <f t="shared" si="71"/>
        <v>0</v>
      </c>
      <c r="AJ163" s="25">
        <f t="shared" si="72"/>
        <v>0</v>
      </c>
      <c r="AK163" s="25">
        <f t="shared" si="73"/>
        <v>0</v>
      </c>
      <c r="AL163" s="25">
        <f t="shared" si="74"/>
        <v>0</v>
      </c>
      <c r="AM163" s="25">
        <f t="shared" si="75"/>
        <v>0</v>
      </c>
      <c r="AN163" s="25">
        <f t="shared" si="76"/>
        <v>0</v>
      </c>
      <c r="AO163" s="25">
        <f t="shared" si="77"/>
        <v>0</v>
      </c>
      <c r="AP163" s="25">
        <f t="shared" si="78"/>
        <v>0</v>
      </c>
      <c r="AQ163" s="25">
        <f t="shared" si="79"/>
        <v>0</v>
      </c>
      <c r="AR163" s="25">
        <f t="shared" si="80"/>
        <v>0</v>
      </c>
      <c r="AS163" s="25">
        <f t="shared" si="81"/>
        <v>0</v>
      </c>
      <c r="AT163" s="25">
        <f t="shared" si="82"/>
        <v>0</v>
      </c>
      <c r="AU163" s="25">
        <f t="shared" si="83"/>
        <v>0</v>
      </c>
      <c r="AV163" s="25">
        <f t="shared" si="84"/>
        <v>0</v>
      </c>
      <c r="AW163" s="25">
        <f t="shared" si="85"/>
        <v>204</v>
      </c>
      <c r="AX163" s="25">
        <f t="shared" si="86"/>
        <v>0</v>
      </c>
      <c r="AY163" s="25">
        <f t="shared" si="87"/>
        <v>0</v>
      </c>
      <c r="AZ163" s="25">
        <f t="shared" si="88"/>
        <v>0</v>
      </c>
      <c r="BA163" s="25">
        <f t="shared" si="89"/>
        <v>0</v>
      </c>
      <c r="BB163" s="25">
        <f t="shared" si="90"/>
        <v>0</v>
      </c>
      <c r="BC163" s="25">
        <f t="shared" si="91"/>
        <v>0</v>
      </c>
      <c r="BD163" s="25">
        <f t="shared" si="92"/>
        <v>0</v>
      </c>
      <c r="BE163" s="25">
        <f t="shared" si="93"/>
        <v>0</v>
      </c>
      <c r="BF163" s="25">
        <f t="shared" si="94"/>
        <v>0</v>
      </c>
    </row>
    <row r="164" spans="1:58" s="25" customFormat="1" ht="15" customHeight="1" x14ac:dyDescent="0.25">
      <c r="A164" s="38" t="s">
        <v>240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64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43"/>
      <c r="Y164" s="23"/>
      <c r="Z164" s="23"/>
      <c r="AA164" s="23"/>
      <c r="AB164" s="24">
        <f t="shared" si="65"/>
        <v>0</v>
      </c>
      <c r="AC164" s="24">
        <f t="shared" si="66"/>
        <v>0</v>
      </c>
      <c r="AD164" s="25">
        <v>0</v>
      </c>
      <c r="AE164" s="25">
        <f t="shared" si="67"/>
        <v>0</v>
      </c>
      <c r="AF164" s="25">
        <f t="shared" si="68"/>
        <v>0</v>
      </c>
      <c r="AG164" s="25">
        <f t="shared" si="69"/>
        <v>0</v>
      </c>
      <c r="AH164" s="25">
        <f t="shared" si="70"/>
        <v>0</v>
      </c>
      <c r="AI164" s="25">
        <f t="shared" si="71"/>
        <v>0</v>
      </c>
      <c r="AJ164" s="25">
        <f t="shared" si="72"/>
        <v>0</v>
      </c>
      <c r="AK164" s="25">
        <f t="shared" si="73"/>
        <v>0</v>
      </c>
      <c r="AL164" s="25">
        <f t="shared" si="74"/>
        <v>0</v>
      </c>
      <c r="AM164" s="25">
        <f t="shared" si="75"/>
        <v>0</v>
      </c>
      <c r="AN164" s="25">
        <f t="shared" si="76"/>
        <v>0</v>
      </c>
      <c r="AO164" s="25">
        <f t="shared" si="77"/>
        <v>0</v>
      </c>
      <c r="AP164" s="25">
        <f t="shared" si="78"/>
        <v>0</v>
      </c>
      <c r="AQ164" s="25">
        <f t="shared" si="79"/>
        <v>0</v>
      </c>
      <c r="AR164" s="25">
        <f t="shared" si="80"/>
        <v>0</v>
      </c>
      <c r="AS164" s="25">
        <f t="shared" si="81"/>
        <v>0</v>
      </c>
      <c r="AT164" s="25">
        <f t="shared" si="82"/>
        <v>0</v>
      </c>
      <c r="AU164" s="25">
        <f t="shared" si="83"/>
        <v>0</v>
      </c>
      <c r="AV164" s="25">
        <f t="shared" si="84"/>
        <v>0</v>
      </c>
      <c r="AW164" s="25">
        <f t="shared" si="85"/>
        <v>0</v>
      </c>
      <c r="AX164" s="25">
        <f t="shared" si="86"/>
        <v>0</v>
      </c>
      <c r="AY164" s="25">
        <f t="shared" si="87"/>
        <v>0</v>
      </c>
      <c r="AZ164" s="25">
        <f t="shared" si="88"/>
        <v>0</v>
      </c>
      <c r="BA164" s="25">
        <f t="shared" si="89"/>
        <v>0</v>
      </c>
      <c r="BB164" s="25">
        <f t="shared" si="90"/>
        <v>0</v>
      </c>
      <c r="BC164" s="25">
        <f t="shared" si="91"/>
        <v>0</v>
      </c>
      <c r="BD164" s="25">
        <f t="shared" si="92"/>
        <v>0</v>
      </c>
      <c r="BE164" s="25">
        <f t="shared" si="93"/>
        <v>0</v>
      </c>
      <c r="BF164" s="25">
        <f t="shared" si="94"/>
        <v>0</v>
      </c>
    </row>
    <row r="165" spans="1:58" s="25" customFormat="1" ht="15" customHeight="1" x14ac:dyDescent="0.25">
      <c r="A165" s="38" t="s">
        <v>241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64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43"/>
      <c r="Y165" s="23"/>
      <c r="Z165" s="23"/>
      <c r="AA165" s="23"/>
      <c r="AB165" s="24">
        <f t="shared" si="65"/>
        <v>0</v>
      </c>
      <c r="AC165" s="24">
        <f t="shared" si="66"/>
        <v>0</v>
      </c>
      <c r="AD165" s="25">
        <v>22.95</v>
      </c>
      <c r="AE165" s="25">
        <f t="shared" si="67"/>
        <v>0</v>
      </c>
      <c r="AF165" s="25">
        <f t="shared" si="68"/>
        <v>0</v>
      </c>
      <c r="AG165" s="25">
        <f t="shared" si="69"/>
        <v>0</v>
      </c>
      <c r="AH165" s="25">
        <f t="shared" si="70"/>
        <v>0</v>
      </c>
      <c r="AI165" s="25">
        <f t="shared" si="71"/>
        <v>0</v>
      </c>
      <c r="AJ165" s="25">
        <f t="shared" si="72"/>
        <v>0</v>
      </c>
      <c r="AK165" s="25">
        <f t="shared" si="73"/>
        <v>0</v>
      </c>
      <c r="AL165" s="25">
        <f t="shared" si="74"/>
        <v>0</v>
      </c>
      <c r="AM165" s="25">
        <f t="shared" si="75"/>
        <v>0</v>
      </c>
      <c r="AN165" s="25">
        <f t="shared" si="76"/>
        <v>0</v>
      </c>
      <c r="AO165" s="25">
        <f t="shared" si="77"/>
        <v>0</v>
      </c>
      <c r="AP165" s="25">
        <f t="shared" si="78"/>
        <v>0</v>
      </c>
      <c r="AQ165" s="25">
        <f t="shared" si="79"/>
        <v>0</v>
      </c>
      <c r="AR165" s="25">
        <f t="shared" si="80"/>
        <v>0</v>
      </c>
      <c r="AS165" s="25">
        <f t="shared" si="81"/>
        <v>0</v>
      </c>
      <c r="AT165" s="25">
        <f t="shared" si="82"/>
        <v>0</v>
      </c>
      <c r="AU165" s="25">
        <f t="shared" si="83"/>
        <v>0</v>
      </c>
      <c r="AV165" s="25">
        <f t="shared" si="84"/>
        <v>0</v>
      </c>
      <c r="AW165" s="25">
        <f t="shared" si="85"/>
        <v>0</v>
      </c>
      <c r="AX165" s="25">
        <f t="shared" si="86"/>
        <v>0</v>
      </c>
      <c r="AY165" s="25">
        <f t="shared" si="87"/>
        <v>0</v>
      </c>
      <c r="AZ165" s="25">
        <f t="shared" si="88"/>
        <v>0</v>
      </c>
      <c r="BA165" s="25">
        <f t="shared" si="89"/>
        <v>0</v>
      </c>
      <c r="BB165" s="25">
        <f t="shared" si="90"/>
        <v>0</v>
      </c>
      <c r="BC165" s="25">
        <f t="shared" si="91"/>
        <v>0</v>
      </c>
      <c r="BD165" s="25">
        <f t="shared" si="92"/>
        <v>0</v>
      </c>
      <c r="BE165" s="25">
        <f t="shared" si="93"/>
        <v>0</v>
      </c>
      <c r="BF165" s="25">
        <f t="shared" si="94"/>
        <v>0</v>
      </c>
    </row>
    <row r="166" spans="1:58" s="25" customFormat="1" ht="15" customHeight="1" x14ac:dyDescent="0.25">
      <c r="A166" s="38" t="s">
        <v>242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64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>
        <v>1</v>
      </c>
      <c r="U166" s="23"/>
      <c r="V166" s="23"/>
      <c r="W166" s="23"/>
      <c r="X166" s="43"/>
      <c r="Y166" s="23"/>
      <c r="Z166" s="23"/>
      <c r="AA166" s="23"/>
      <c r="AB166" s="24">
        <f t="shared" si="65"/>
        <v>0</v>
      </c>
      <c r="AC166" s="24">
        <f t="shared" si="66"/>
        <v>0</v>
      </c>
      <c r="AD166" s="25">
        <v>25.5</v>
      </c>
      <c r="AE166" s="25">
        <f t="shared" si="67"/>
        <v>0</v>
      </c>
      <c r="AF166" s="25">
        <f t="shared" si="68"/>
        <v>0</v>
      </c>
      <c r="AG166" s="25">
        <f t="shared" si="69"/>
        <v>0</v>
      </c>
      <c r="AH166" s="25">
        <f t="shared" si="70"/>
        <v>0</v>
      </c>
      <c r="AI166" s="25">
        <f t="shared" si="71"/>
        <v>0</v>
      </c>
      <c r="AJ166" s="25">
        <f t="shared" si="72"/>
        <v>0</v>
      </c>
      <c r="AK166" s="25">
        <f t="shared" si="73"/>
        <v>0</v>
      </c>
      <c r="AL166" s="25">
        <f t="shared" si="74"/>
        <v>0</v>
      </c>
      <c r="AM166" s="25">
        <f t="shared" si="75"/>
        <v>0</v>
      </c>
      <c r="AN166" s="25">
        <f t="shared" si="76"/>
        <v>0</v>
      </c>
      <c r="AO166" s="25">
        <f t="shared" si="77"/>
        <v>0</v>
      </c>
      <c r="AP166" s="25">
        <f t="shared" si="78"/>
        <v>0</v>
      </c>
      <c r="AQ166" s="25">
        <f t="shared" si="79"/>
        <v>0</v>
      </c>
      <c r="AR166" s="25">
        <f t="shared" si="80"/>
        <v>0</v>
      </c>
      <c r="AS166" s="25">
        <f t="shared" si="81"/>
        <v>0</v>
      </c>
      <c r="AT166" s="25">
        <f t="shared" si="82"/>
        <v>0</v>
      </c>
      <c r="AU166" s="25">
        <f t="shared" si="83"/>
        <v>0</v>
      </c>
      <c r="AV166" s="25">
        <f t="shared" si="84"/>
        <v>0</v>
      </c>
      <c r="AW166" s="25">
        <f t="shared" si="85"/>
        <v>25.5</v>
      </c>
      <c r="AX166" s="25">
        <f t="shared" si="86"/>
        <v>0</v>
      </c>
      <c r="AY166" s="25">
        <f t="shared" si="87"/>
        <v>0</v>
      </c>
      <c r="AZ166" s="25">
        <f t="shared" si="88"/>
        <v>0</v>
      </c>
      <c r="BA166" s="25">
        <f t="shared" si="89"/>
        <v>0</v>
      </c>
      <c r="BB166" s="25">
        <f t="shared" si="90"/>
        <v>0</v>
      </c>
      <c r="BC166" s="25">
        <f t="shared" si="91"/>
        <v>0</v>
      </c>
      <c r="BD166" s="25">
        <f t="shared" si="92"/>
        <v>0</v>
      </c>
      <c r="BE166" s="25">
        <f t="shared" si="93"/>
        <v>0</v>
      </c>
      <c r="BF166" s="25">
        <f t="shared" si="94"/>
        <v>0</v>
      </c>
    </row>
    <row r="167" spans="1:58" s="25" customFormat="1" ht="15" customHeight="1" x14ac:dyDescent="0.25">
      <c r="A167" s="38" t="s">
        <v>243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64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43"/>
      <c r="Y167" s="23"/>
      <c r="Z167" s="23"/>
      <c r="AA167" s="23"/>
      <c r="AB167" s="24">
        <f t="shared" si="65"/>
        <v>0</v>
      </c>
      <c r="AC167" s="24">
        <f t="shared" si="66"/>
        <v>0</v>
      </c>
      <c r="AD167" s="25">
        <v>30.6</v>
      </c>
      <c r="AE167" s="25">
        <f t="shared" si="67"/>
        <v>0</v>
      </c>
      <c r="AF167" s="25">
        <f t="shared" si="68"/>
        <v>0</v>
      </c>
      <c r="AG167" s="25">
        <f t="shared" si="69"/>
        <v>0</v>
      </c>
      <c r="AH167" s="25">
        <f t="shared" si="70"/>
        <v>0</v>
      </c>
      <c r="AI167" s="25">
        <f t="shared" si="71"/>
        <v>0</v>
      </c>
      <c r="AJ167" s="25">
        <f t="shared" si="72"/>
        <v>0</v>
      </c>
      <c r="AK167" s="25">
        <f t="shared" si="73"/>
        <v>0</v>
      </c>
      <c r="AL167" s="25">
        <f t="shared" si="74"/>
        <v>0</v>
      </c>
      <c r="AM167" s="25">
        <f t="shared" si="75"/>
        <v>0</v>
      </c>
      <c r="AN167" s="25">
        <f t="shared" si="76"/>
        <v>0</v>
      </c>
      <c r="AO167" s="25">
        <f t="shared" si="77"/>
        <v>0</v>
      </c>
      <c r="AP167" s="25">
        <f t="shared" si="78"/>
        <v>0</v>
      </c>
      <c r="AQ167" s="25">
        <f t="shared" si="79"/>
        <v>0</v>
      </c>
      <c r="AR167" s="25">
        <f t="shared" si="80"/>
        <v>0</v>
      </c>
      <c r="AS167" s="25">
        <f t="shared" si="81"/>
        <v>0</v>
      </c>
      <c r="AT167" s="25">
        <f t="shared" si="82"/>
        <v>0</v>
      </c>
      <c r="AU167" s="25">
        <f t="shared" si="83"/>
        <v>0</v>
      </c>
      <c r="AV167" s="25">
        <f t="shared" si="84"/>
        <v>0</v>
      </c>
      <c r="AW167" s="25">
        <f t="shared" si="85"/>
        <v>0</v>
      </c>
      <c r="AX167" s="25">
        <f t="shared" si="86"/>
        <v>0</v>
      </c>
      <c r="AY167" s="25">
        <f t="shared" si="87"/>
        <v>0</v>
      </c>
      <c r="AZ167" s="25">
        <f t="shared" si="88"/>
        <v>0</v>
      </c>
      <c r="BA167" s="25">
        <f t="shared" si="89"/>
        <v>0</v>
      </c>
      <c r="BB167" s="25">
        <f t="shared" si="90"/>
        <v>0</v>
      </c>
      <c r="BC167" s="25">
        <f t="shared" si="91"/>
        <v>0</v>
      </c>
      <c r="BD167" s="25">
        <f t="shared" si="92"/>
        <v>0</v>
      </c>
      <c r="BE167" s="25">
        <f t="shared" si="93"/>
        <v>0</v>
      </c>
      <c r="BF167" s="25">
        <f t="shared" si="94"/>
        <v>0</v>
      </c>
    </row>
    <row r="168" spans="1:58" s="25" customFormat="1" ht="15" customHeight="1" x14ac:dyDescent="0.25">
      <c r="A168" s="38" t="s">
        <v>244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64"/>
        <v>3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43"/>
      <c r="Y168" s="23">
        <v>3</v>
      </c>
      <c r="Z168" s="23"/>
      <c r="AA168" s="23"/>
      <c r="AB168" s="24">
        <f t="shared" si="65"/>
        <v>0</v>
      </c>
      <c r="AC168" s="24">
        <f t="shared" si="66"/>
        <v>3</v>
      </c>
      <c r="AD168" s="25">
        <v>5.95</v>
      </c>
      <c r="AE168" s="25">
        <f t="shared" si="67"/>
        <v>17.850000000000001</v>
      </c>
      <c r="AF168" s="25">
        <f t="shared" si="68"/>
        <v>0</v>
      </c>
      <c r="AG168" s="25">
        <f t="shared" si="69"/>
        <v>0</v>
      </c>
      <c r="AH168" s="25">
        <f t="shared" si="70"/>
        <v>0</v>
      </c>
      <c r="AI168" s="25">
        <f t="shared" si="71"/>
        <v>416.5</v>
      </c>
      <c r="AJ168" s="25">
        <f t="shared" si="72"/>
        <v>0</v>
      </c>
      <c r="AK168" s="25">
        <f t="shared" si="73"/>
        <v>0</v>
      </c>
      <c r="AL168" s="25">
        <f t="shared" si="74"/>
        <v>35.700000000000003</v>
      </c>
      <c r="AM168" s="25">
        <f t="shared" si="75"/>
        <v>17.850000000000001</v>
      </c>
      <c r="AN168" s="25">
        <f t="shared" si="76"/>
        <v>0</v>
      </c>
      <c r="AO168" s="25">
        <f t="shared" si="77"/>
        <v>0</v>
      </c>
      <c r="AP168" s="25">
        <f t="shared" si="78"/>
        <v>0</v>
      </c>
      <c r="AQ168" s="25">
        <f t="shared" si="79"/>
        <v>0</v>
      </c>
      <c r="AR168" s="25">
        <f t="shared" si="80"/>
        <v>0</v>
      </c>
      <c r="AS168" s="25">
        <f t="shared" si="81"/>
        <v>0</v>
      </c>
      <c r="AT168" s="25">
        <f t="shared" si="82"/>
        <v>0</v>
      </c>
      <c r="AU168" s="25">
        <f t="shared" si="83"/>
        <v>0</v>
      </c>
      <c r="AV168" s="25">
        <f t="shared" si="84"/>
        <v>0</v>
      </c>
      <c r="AW168" s="25">
        <f t="shared" si="85"/>
        <v>0</v>
      </c>
      <c r="AX168" s="25">
        <f t="shared" si="86"/>
        <v>0</v>
      </c>
      <c r="AY168" s="25">
        <f t="shared" si="87"/>
        <v>0</v>
      </c>
      <c r="AZ168" s="25">
        <f t="shared" si="88"/>
        <v>0</v>
      </c>
      <c r="BA168" s="25">
        <f t="shared" si="89"/>
        <v>0</v>
      </c>
      <c r="BB168" s="25">
        <f t="shared" si="90"/>
        <v>17.850000000000001</v>
      </c>
      <c r="BC168" s="25">
        <f t="shared" si="91"/>
        <v>0</v>
      </c>
      <c r="BD168" s="25">
        <f t="shared" si="92"/>
        <v>0</v>
      </c>
      <c r="BE168" s="25">
        <f t="shared" si="93"/>
        <v>0</v>
      </c>
      <c r="BF168" s="25">
        <f t="shared" si="94"/>
        <v>17.850000000000001</v>
      </c>
    </row>
    <row r="169" spans="1:58" s="25" customFormat="1" ht="15" customHeight="1" x14ac:dyDescent="0.25">
      <c r="A169" s="38" t="s">
        <v>245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64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43"/>
      <c r="Y169" s="23"/>
      <c r="Z169" s="23"/>
      <c r="AA169" s="23"/>
      <c r="AB169" s="24">
        <f t="shared" si="65"/>
        <v>6</v>
      </c>
      <c r="AC169" s="24">
        <f t="shared" si="66"/>
        <v>12</v>
      </c>
      <c r="AD169" s="25">
        <v>21</v>
      </c>
      <c r="AE169" s="25">
        <f t="shared" si="67"/>
        <v>378</v>
      </c>
      <c r="AF169" s="25">
        <f t="shared" si="68"/>
        <v>0</v>
      </c>
      <c r="AG169" s="25">
        <f t="shared" si="69"/>
        <v>0</v>
      </c>
      <c r="AH169" s="25">
        <f t="shared" si="70"/>
        <v>0</v>
      </c>
      <c r="AI169" s="25">
        <f t="shared" si="71"/>
        <v>0</v>
      </c>
      <c r="AJ169" s="25">
        <f t="shared" si="72"/>
        <v>0</v>
      </c>
      <c r="AK169" s="25">
        <f t="shared" si="73"/>
        <v>0</v>
      </c>
      <c r="AL169" s="25">
        <f t="shared" si="74"/>
        <v>0</v>
      </c>
      <c r="AM169" s="25">
        <f t="shared" si="75"/>
        <v>378</v>
      </c>
      <c r="AN169" s="25">
        <f t="shared" si="76"/>
        <v>0</v>
      </c>
      <c r="AO169" s="25">
        <f t="shared" si="77"/>
        <v>0</v>
      </c>
      <c r="AP169" s="25">
        <f t="shared" si="78"/>
        <v>126</v>
      </c>
      <c r="AQ169" s="25">
        <f t="shared" si="79"/>
        <v>0</v>
      </c>
      <c r="AR169" s="25">
        <f t="shared" si="80"/>
        <v>0</v>
      </c>
      <c r="AS169" s="25">
        <f t="shared" si="81"/>
        <v>0</v>
      </c>
      <c r="AT169" s="25">
        <f t="shared" si="82"/>
        <v>0</v>
      </c>
      <c r="AU169" s="25">
        <f t="shared" si="83"/>
        <v>0</v>
      </c>
      <c r="AV169" s="25">
        <f t="shared" si="84"/>
        <v>0</v>
      </c>
      <c r="AW169" s="25">
        <f t="shared" si="85"/>
        <v>0</v>
      </c>
      <c r="AX169" s="25">
        <f t="shared" si="86"/>
        <v>0</v>
      </c>
      <c r="AY169" s="25">
        <f t="shared" si="87"/>
        <v>0</v>
      </c>
      <c r="AZ169" s="25">
        <f t="shared" si="88"/>
        <v>0</v>
      </c>
      <c r="BA169" s="25">
        <f t="shared" si="89"/>
        <v>0</v>
      </c>
      <c r="BB169" s="25">
        <f t="shared" si="90"/>
        <v>0</v>
      </c>
      <c r="BC169" s="25">
        <f t="shared" si="91"/>
        <v>0</v>
      </c>
      <c r="BD169" s="25">
        <f t="shared" si="92"/>
        <v>0</v>
      </c>
      <c r="BE169" s="25">
        <f t="shared" si="93"/>
        <v>126</v>
      </c>
      <c r="BF169" s="25">
        <f t="shared" si="94"/>
        <v>252</v>
      </c>
    </row>
    <row r="170" spans="1:58" s="25" customFormat="1" ht="15" customHeight="1" x14ac:dyDescent="0.25">
      <c r="A170" s="38" t="s">
        <v>246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64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43"/>
      <c r="Y170" s="23"/>
      <c r="Z170" s="23"/>
      <c r="AA170" s="23"/>
      <c r="AB170" s="24">
        <f t="shared" si="65"/>
        <v>21</v>
      </c>
      <c r="AC170" s="24">
        <f t="shared" si="66"/>
        <v>12</v>
      </c>
      <c r="AD170" s="25">
        <v>17</v>
      </c>
      <c r="AE170" s="25">
        <f t="shared" si="67"/>
        <v>561</v>
      </c>
      <c r="AF170" s="25">
        <f t="shared" si="68"/>
        <v>0</v>
      </c>
      <c r="AG170" s="25">
        <f t="shared" si="69"/>
        <v>0</v>
      </c>
      <c r="AH170" s="25">
        <f t="shared" si="70"/>
        <v>0</v>
      </c>
      <c r="AI170" s="25">
        <f t="shared" si="71"/>
        <v>0</v>
      </c>
      <c r="AJ170" s="25">
        <f t="shared" si="72"/>
        <v>0</v>
      </c>
      <c r="AK170" s="25">
        <f t="shared" si="73"/>
        <v>0</v>
      </c>
      <c r="AL170" s="25">
        <f t="shared" si="74"/>
        <v>0</v>
      </c>
      <c r="AM170" s="25">
        <f t="shared" si="75"/>
        <v>561</v>
      </c>
      <c r="AN170" s="25">
        <f t="shared" si="76"/>
        <v>0</v>
      </c>
      <c r="AO170" s="25">
        <f t="shared" si="77"/>
        <v>0</v>
      </c>
      <c r="AP170" s="25">
        <f t="shared" si="78"/>
        <v>357</v>
      </c>
      <c r="AQ170" s="25">
        <f t="shared" si="79"/>
        <v>0</v>
      </c>
      <c r="AR170" s="25">
        <f t="shared" si="80"/>
        <v>0</v>
      </c>
      <c r="AS170" s="25">
        <f t="shared" si="81"/>
        <v>0</v>
      </c>
      <c r="AT170" s="25">
        <f t="shared" si="82"/>
        <v>0</v>
      </c>
      <c r="AU170" s="25">
        <f t="shared" si="83"/>
        <v>0</v>
      </c>
      <c r="AV170" s="25">
        <f t="shared" si="84"/>
        <v>0</v>
      </c>
      <c r="AW170" s="25">
        <f t="shared" si="85"/>
        <v>0</v>
      </c>
      <c r="AX170" s="25">
        <f t="shared" si="86"/>
        <v>0</v>
      </c>
      <c r="AY170" s="25">
        <f t="shared" si="87"/>
        <v>0</v>
      </c>
      <c r="AZ170" s="25">
        <f t="shared" si="88"/>
        <v>0</v>
      </c>
      <c r="BA170" s="25">
        <f t="shared" si="89"/>
        <v>0</v>
      </c>
      <c r="BB170" s="25">
        <f t="shared" si="90"/>
        <v>0</v>
      </c>
      <c r="BC170" s="25">
        <f t="shared" si="91"/>
        <v>0</v>
      </c>
      <c r="BD170" s="25">
        <f t="shared" si="92"/>
        <v>0</v>
      </c>
      <c r="BE170" s="25">
        <f t="shared" si="93"/>
        <v>357</v>
      </c>
      <c r="BF170" s="25">
        <f t="shared" si="94"/>
        <v>204</v>
      </c>
    </row>
    <row r="171" spans="1:58" s="25" customFormat="1" ht="15" customHeight="1" x14ac:dyDescent="0.25">
      <c r="A171" s="38" t="s">
        <v>247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64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43"/>
      <c r="Y171" s="23"/>
      <c r="Z171" s="23"/>
      <c r="AA171" s="23"/>
      <c r="AB171" s="24">
        <f t="shared" si="65"/>
        <v>0</v>
      </c>
      <c r="AC171" s="24">
        <f t="shared" si="66"/>
        <v>0</v>
      </c>
      <c r="AD171" s="25">
        <v>9.02</v>
      </c>
      <c r="AE171" s="25">
        <f t="shared" si="67"/>
        <v>0</v>
      </c>
      <c r="AF171" s="25">
        <f t="shared" si="68"/>
        <v>0</v>
      </c>
      <c r="AG171" s="25">
        <f t="shared" si="69"/>
        <v>0</v>
      </c>
      <c r="AH171" s="25">
        <f t="shared" si="70"/>
        <v>0</v>
      </c>
      <c r="AI171" s="25">
        <f t="shared" si="71"/>
        <v>0</v>
      </c>
      <c r="AJ171" s="25">
        <f t="shared" si="72"/>
        <v>0</v>
      </c>
      <c r="AK171" s="25">
        <f t="shared" si="73"/>
        <v>0</v>
      </c>
      <c r="AL171" s="25">
        <f t="shared" si="74"/>
        <v>0</v>
      </c>
      <c r="AM171" s="25">
        <f t="shared" si="75"/>
        <v>0</v>
      </c>
      <c r="AN171" s="25">
        <f t="shared" si="76"/>
        <v>0</v>
      </c>
      <c r="AO171" s="25">
        <f t="shared" si="77"/>
        <v>0</v>
      </c>
      <c r="AP171" s="25">
        <f t="shared" si="78"/>
        <v>0</v>
      </c>
      <c r="AQ171" s="25">
        <f t="shared" si="79"/>
        <v>0</v>
      </c>
      <c r="AR171" s="25">
        <f t="shared" si="80"/>
        <v>0</v>
      </c>
      <c r="AS171" s="25">
        <f t="shared" si="81"/>
        <v>0</v>
      </c>
      <c r="AT171" s="25">
        <f t="shared" si="82"/>
        <v>0</v>
      </c>
      <c r="AU171" s="25">
        <f t="shared" si="83"/>
        <v>0</v>
      </c>
      <c r="AV171" s="25">
        <f t="shared" si="84"/>
        <v>0</v>
      </c>
      <c r="AW171" s="25">
        <f t="shared" si="85"/>
        <v>0</v>
      </c>
      <c r="AX171" s="25">
        <f t="shared" si="86"/>
        <v>0</v>
      </c>
      <c r="AY171" s="25">
        <f t="shared" si="87"/>
        <v>0</v>
      </c>
      <c r="AZ171" s="25">
        <f t="shared" si="88"/>
        <v>0</v>
      </c>
      <c r="BA171" s="25">
        <f t="shared" si="89"/>
        <v>0</v>
      </c>
      <c r="BB171" s="25">
        <f t="shared" si="90"/>
        <v>0</v>
      </c>
      <c r="BC171" s="25">
        <f t="shared" si="91"/>
        <v>0</v>
      </c>
      <c r="BD171" s="25">
        <f t="shared" si="92"/>
        <v>0</v>
      </c>
      <c r="BE171" s="25">
        <f t="shared" si="93"/>
        <v>0</v>
      </c>
      <c r="BF171" s="25">
        <f t="shared" si="94"/>
        <v>0</v>
      </c>
    </row>
    <row r="172" spans="1:58" s="25" customFormat="1" ht="15" customHeight="1" x14ac:dyDescent="0.25">
      <c r="A172" s="38" t="s">
        <v>248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64"/>
        <v>133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>
        <v>335</v>
      </c>
      <c r="T172" s="23"/>
      <c r="U172" s="23"/>
      <c r="V172" s="23"/>
      <c r="W172" s="23">
        <v>6</v>
      </c>
      <c r="X172" s="43">
        <v>9</v>
      </c>
      <c r="Y172" s="23"/>
      <c r="Z172" s="23"/>
      <c r="AA172" s="23">
        <v>53</v>
      </c>
      <c r="AB172" s="24">
        <f t="shared" si="65"/>
        <v>46</v>
      </c>
      <c r="AC172" s="24">
        <f t="shared" si="66"/>
        <v>87</v>
      </c>
      <c r="AD172" s="25">
        <v>11.28</v>
      </c>
      <c r="AE172" s="25">
        <f t="shared" si="67"/>
        <v>1500.24</v>
      </c>
      <c r="AF172" s="25">
        <f t="shared" si="68"/>
        <v>0</v>
      </c>
      <c r="AG172" s="25">
        <f t="shared" si="69"/>
        <v>0</v>
      </c>
      <c r="AH172" s="25">
        <f t="shared" si="70"/>
        <v>0</v>
      </c>
      <c r="AI172" s="25">
        <f t="shared" si="71"/>
        <v>2380.08</v>
      </c>
      <c r="AJ172" s="25">
        <f t="shared" si="72"/>
        <v>0</v>
      </c>
      <c r="AK172" s="25">
        <f t="shared" si="73"/>
        <v>0</v>
      </c>
      <c r="AL172" s="25">
        <f t="shared" si="74"/>
        <v>1601.76</v>
      </c>
      <c r="AM172" s="25">
        <f t="shared" si="75"/>
        <v>1500.24</v>
      </c>
      <c r="AN172" s="25">
        <f t="shared" si="76"/>
        <v>0</v>
      </c>
      <c r="AO172" s="25">
        <f t="shared" si="77"/>
        <v>0</v>
      </c>
      <c r="AP172" s="25">
        <f t="shared" si="78"/>
        <v>0</v>
      </c>
      <c r="AQ172" s="25">
        <f t="shared" si="79"/>
        <v>0</v>
      </c>
      <c r="AR172" s="25">
        <f t="shared" si="80"/>
        <v>67.679999999999993</v>
      </c>
      <c r="AS172" s="25">
        <f t="shared" si="81"/>
        <v>518.88</v>
      </c>
      <c r="AT172" s="25">
        <f t="shared" si="82"/>
        <v>0</v>
      </c>
      <c r="AU172" s="25">
        <f t="shared" si="83"/>
        <v>0</v>
      </c>
      <c r="AV172" s="25">
        <f t="shared" si="84"/>
        <v>3778.7999999999997</v>
      </c>
      <c r="AW172" s="25">
        <f t="shared" si="85"/>
        <v>0</v>
      </c>
      <c r="AX172" s="25">
        <f t="shared" si="86"/>
        <v>0</v>
      </c>
      <c r="AY172" s="25">
        <f t="shared" si="87"/>
        <v>0</v>
      </c>
      <c r="AZ172" s="25">
        <f t="shared" si="88"/>
        <v>67.679999999999993</v>
      </c>
      <c r="BA172" s="25">
        <f t="shared" si="89"/>
        <v>101.52</v>
      </c>
      <c r="BB172" s="25">
        <f t="shared" si="90"/>
        <v>0</v>
      </c>
      <c r="BC172" s="25">
        <f t="shared" si="91"/>
        <v>0</v>
      </c>
      <c r="BD172" s="25">
        <f t="shared" si="92"/>
        <v>597.83999999999992</v>
      </c>
      <c r="BE172" s="25">
        <f t="shared" si="93"/>
        <v>518.88</v>
      </c>
      <c r="BF172" s="25">
        <f t="shared" si="94"/>
        <v>981.3599999999999</v>
      </c>
    </row>
    <row r="173" spans="1:58" s="25" customFormat="1" ht="15" customHeight="1" x14ac:dyDescent="0.25">
      <c r="A173" s="38" t="s">
        <v>249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64"/>
        <v>29</v>
      </c>
      <c r="K173" s="21"/>
      <c r="L173" s="23"/>
      <c r="M173" s="23"/>
      <c r="N173" s="43"/>
      <c r="O173" s="43"/>
      <c r="P173" s="23"/>
      <c r="Q173" s="23"/>
      <c r="R173" s="23"/>
      <c r="S173" s="23">
        <v>29</v>
      </c>
      <c r="T173" s="23"/>
      <c r="U173" s="23"/>
      <c r="V173" s="23"/>
      <c r="W173" s="23"/>
      <c r="X173" s="43"/>
      <c r="Y173" s="23"/>
      <c r="Z173" s="23"/>
      <c r="AA173" s="23"/>
      <c r="AB173" s="24">
        <f t="shared" si="65"/>
        <v>0</v>
      </c>
      <c r="AC173" s="24">
        <f t="shared" si="66"/>
        <v>29</v>
      </c>
      <c r="AD173" s="25">
        <v>11.28</v>
      </c>
      <c r="AE173" s="25">
        <f t="shared" si="67"/>
        <v>327.12</v>
      </c>
      <c r="AF173" s="25">
        <f t="shared" si="68"/>
        <v>0</v>
      </c>
      <c r="AG173" s="25">
        <f t="shared" si="69"/>
        <v>0</v>
      </c>
      <c r="AH173" s="25">
        <f t="shared" si="70"/>
        <v>0</v>
      </c>
      <c r="AI173" s="25">
        <f t="shared" si="71"/>
        <v>0</v>
      </c>
      <c r="AJ173" s="25">
        <f t="shared" si="72"/>
        <v>0</v>
      </c>
      <c r="AK173" s="25">
        <f t="shared" si="73"/>
        <v>0</v>
      </c>
      <c r="AL173" s="25">
        <f t="shared" si="74"/>
        <v>169.2</v>
      </c>
      <c r="AM173" s="25">
        <f t="shared" si="75"/>
        <v>327.12</v>
      </c>
      <c r="AN173" s="25">
        <f t="shared" si="76"/>
        <v>0</v>
      </c>
      <c r="AO173" s="25">
        <f t="shared" si="77"/>
        <v>0</v>
      </c>
      <c r="AP173" s="25">
        <f t="shared" si="78"/>
        <v>0</v>
      </c>
      <c r="AQ173" s="25">
        <f t="shared" si="79"/>
        <v>0</v>
      </c>
      <c r="AR173" s="25">
        <f t="shared" si="80"/>
        <v>0</v>
      </c>
      <c r="AS173" s="25">
        <f t="shared" si="81"/>
        <v>0</v>
      </c>
      <c r="AT173" s="25">
        <f t="shared" si="82"/>
        <v>0</v>
      </c>
      <c r="AU173" s="25">
        <f t="shared" si="83"/>
        <v>0</v>
      </c>
      <c r="AV173" s="25">
        <f t="shared" si="84"/>
        <v>327.12</v>
      </c>
      <c r="AW173" s="25">
        <f t="shared" si="85"/>
        <v>0</v>
      </c>
      <c r="AX173" s="25">
        <f t="shared" si="86"/>
        <v>0</v>
      </c>
      <c r="AY173" s="25">
        <f t="shared" si="87"/>
        <v>0</v>
      </c>
      <c r="AZ173" s="25">
        <f t="shared" si="88"/>
        <v>0</v>
      </c>
      <c r="BA173" s="25">
        <f t="shared" si="89"/>
        <v>0</v>
      </c>
      <c r="BB173" s="25">
        <f t="shared" si="90"/>
        <v>0</v>
      </c>
      <c r="BC173" s="25">
        <f t="shared" si="91"/>
        <v>0</v>
      </c>
      <c r="BD173" s="25">
        <f t="shared" si="92"/>
        <v>0</v>
      </c>
      <c r="BE173" s="25">
        <f t="shared" si="93"/>
        <v>0</v>
      </c>
      <c r="BF173" s="25">
        <f t="shared" si="94"/>
        <v>327.12</v>
      </c>
    </row>
    <row r="174" spans="1:58" s="25" customFormat="1" ht="15" customHeight="1" x14ac:dyDescent="0.25">
      <c r="A174" s="38" t="s">
        <v>250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ref="J174:J237" si="95">B174+D174+E174</f>
        <v>57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>
        <v>180</v>
      </c>
      <c r="T174" s="23"/>
      <c r="U174" s="23"/>
      <c r="V174" s="23">
        <v>38</v>
      </c>
      <c r="W174" s="23">
        <v>26</v>
      </c>
      <c r="X174" s="43">
        <v>3</v>
      </c>
      <c r="Y174" s="23">
        <v>15</v>
      </c>
      <c r="Z174" s="23"/>
      <c r="AA174" s="23">
        <v>46</v>
      </c>
      <c r="AB174" s="24">
        <f t="shared" ref="AB174:AB237" si="96">L174+M174+P174+Q174+R174</f>
        <v>0</v>
      </c>
      <c r="AC174" s="24">
        <f t="shared" si="66"/>
        <v>57</v>
      </c>
      <c r="AD174" s="25">
        <v>17.5</v>
      </c>
      <c r="AE174" s="25">
        <f t="shared" si="67"/>
        <v>997.5</v>
      </c>
      <c r="AF174" s="25">
        <f t="shared" si="68"/>
        <v>0</v>
      </c>
      <c r="AG174" s="25">
        <f t="shared" si="69"/>
        <v>0</v>
      </c>
      <c r="AH174" s="25">
        <f t="shared" si="70"/>
        <v>0</v>
      </c>
      <c r="AI174" s="25">
        <f t="shared" si="71"/>
        <v>1942.5</v>
      </c>
      <c r="AJ174" s="25">
        <f t="shared" si="72"/>
        <v>0</v>
      </c>
      <c r="AK174" s="25">
        <f t="shared" si="73"/>
        <v>0</v>
      </c>
      <c r="AL174" s="25">
        <f t="shared" si="74"/>
        <v>1242.5</v>
      </c>
      <c r="AM174" s="25">
        <f t="shared" si="75"/>
        <v>997.5</v>
      </c>
      <c r="AN174" s="25">
        <f t="shared" si="76"/>
        <v>0</v>
      </c>
      <c r="AO174" s="25">
        <f t="shared" si="77"/>
        <v>0</v>
      </c>
      <c r="AP174" s="25">
        <f t="shared" si="78"/>
        <v>0</v>
      </c>
      <c r="AQ174" s="25">
        <f t="shared" si="79"/>
        <v>0</v>
      </c>
      <c r="AR174" s="25">
        <f t="shared" si="80"/>
        <v>52.5</v>
      </c>
      <c r="AS174" s="25">
        <f t="shared" si="81"/>
        <v>0</v>
      </c>
      <c r="AT174" s="25">
        <f t="shared" si="82"/>
        <v>0</v>
      </c>
      <c r="AU174" s="25">
        <f t="shared" si="83"/>
        <v>0</v>
      </c>
      <c r="AV174" s="25">
        <f t="shared" si="84"/>
        <v>3150</v>
      </c>
      <c r="AW174" s="25">
        <f t="shared" si="85"/>
        <v>0</v>
      </c>
      <c r="AX174" s="25">
        <f t="shared" si="86"/>
        <v>0</v>
      </c>
      <c r="AY174" s="25">
        <f t="shared" si="87"/>
        <v>665</v>
      </c>
      <c r="AZ174" s="25">
        <f t="shared" si="88"/>
        <v>455</v>
      </c>
      <c r="BA174" s="25">
        <f t="shared" si="89"/>
        <v>52.5</v>
      </c>
      <c r="BB174" s="25">
        <f t="shared" si="90"/>
        <v>262.5</v>
      </c>
      <c r="BC174" s="25">
        <f t="shared" si="91"/>
        <v>0</v>
      </c>
      <c r="BD174" s="25">
        <f t="shared" si="92"/>
        <v>805</v>
      </c>
      <c r="BE174" s="25">
        <f t="shared" si="93"/>
        <v>0</v>
      </c>
      <c r="BF174" s="25">
        <f t="shared" si="94"/>
        <v>997.5</v>
      </c>
    </row>
    <row r="175" spans="1:58" s="25" customFormat="1" ht="15" customHeight="1" x14ac:dyDescent="0.25">
      <c r="A175" s="38" t="s">
        <v>251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95"/>
        <v>0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43"/>
      <c r="Y175" s="23"/>
      <c r="Z175" s="23"/>
      <c r="AA175" s="23"/>
      <c r="AB175" s="24">
        <f t="shared" si="96"/>
        <v>41</v>
      </c>
      <c r="AC175" s="24">
        <f t="shared" si="66"/>
        <v>-41</v>
      </c>
      <c r="AD175" s="25">
        <v>4.1399999999999997</v>
      </c>
      <c r="AE175" s="25">
        <f t="shared" si="67"/>
        <v>0</v>
      </c>
      <c r="AF175" s="25">
        <f t="shared" si="68"/>
        <v>53.819999999999993</v>
      </c>
      <c r="AG175" s="25">
        <f t="shared" si="69"/>
        <v>0</v>
      </c>
      <c r="AH175" s="25">
        <f t="shared" si="70"/>
        <v>0</v>
      </c>
      <c r="AI175" s="25">
        <f t="shared" si="71"/>
        <v>0</v>
      </c>
      <c r="AJ175" s="25">
        <f t="shared" si="72"/>
        <v>0</v>
      </c>
      <c r="AK175" s="25">
        <f t="shared" si="73"/>
        <v>0</v>
      </c>
      <c r="AL175" s="25">
        <f t="shared" si="74"/>
        <v>0</v>
      </c>
      <c r="AM175" s="25">
        <f t="shared" si="75"/>
        <v>0</v>
      </c>
      <c r="AN175" s="25">
        <f t="shared" si="76"/>
        <v>0</v>
      </c>
      <c r="AO175" s="25">
        <f t="shared" si="77"/>
        <v>115.91999999999999</v>
      </c>
      <c r="AP175" s="25">
        <f t="shared" si="78"/>
        <v>0</v>
      </c>
      <c r="AQ175" s="25">
        <f t="shared" si="79"/>
        <v>0</v>
      </c>
      <c r="AR175" s="25">
        <f t="shared" si="80"/>
        <v>0</v>
      </c>
      <c r="AS175" s="25">
        <f t="shared" si="81"/>
        <v>0</v>
      </c>
      <c r="AT175" s="25">
        <f t="shared" si="82"/>
        <v>53.819999999999993</v>
      </c>
      <c r="AU175" s="25">
        <f t="shared" si="83"/>
        <v>0</v>
      </c>
      <c r="AV175" s="25">
        <f t="shared" si="84"/>
        <v>0</v>
      </c>
      <c r="AW175" s="25">
        <f t="shared" si="85"/>
        <v>0</v>
      </c>
      <c r="AX175" s="25">
        <f t="shared" si="86"/>
        <v>0</v>
      </c>
      <c r="AY175" s="25">
        <f t="shared" si="87"/>
        <v>0</v>
      </c>
      <c r="AZ175" s="25">
        <f t="shared" si="88"/>
        <v>0</v>
      </c>
      <c r="BA175" s="25">
        <f t="shared" si="89"/>
        <v>0</v>
      </c>
      <c r="BB175" s="25">
        <f t="shared" si="90"/>
        <v>0</v>
      </c>
      <c r="BC175" s="25">
        <f t="shared" si="91"/>
        <v>0</v>
      </c>
      <c r="BD175" s="25">
        <f t="shared" si="92"/>
        <v>0</v>
      </c>
      <c r="BE175" s="25">
        <f t="shared" si="93"/>
        <v>169.73999999999998</v>
      </c>
      <c r="BF175" s="25">
        <f t="shared" si="94"/>
        <v>-169.73999999999998</v>
      </c>
    </row>
    <row r="176" spans="1:58" s="25" customFormat="1" ht="15" customHeight="1" x14ac:dyDescent="0.25">
      <c r="A176" s="38" t="s">
        <v>252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95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43"/>
      <c r="Y176" s="23"/>
      <c r="Z176" s="23"/>
      <c r="AA176" s="23"/>
      <c r="AB176" s="24">
        <f t="shared" si="96"/>
        <v>0</v>
      </c>
      <c r="AC176" s="24">
        <f t="shared" si="66"/>
        <v>0</v>
      </c>
      <c r="AD176" s="25">
        <v>5.9</v>
      </c>
      <c r="AE176" s="25">
        <f t="shared" si="67"/>
        <v>0</v>
      </c>
      <c r="AF176" s="25">
        <f t="shared" si="68"/>
        <v>0</v>
      </c>
      <c r="AG176" s="25">
        <f t="shared" si="69"/>
        <v>0</v>
      </c>
      <c r="AH176" s="25">
        <f t="shared" si="70"/>
        <v>0</v>
      </c>
      <c r="AI176" s="25">
        <f t="shared" si="71"/>
        <v>0</v>
      </c>
      <c r="AJ176" s="25">
        <f t="shared" si="72"/>
        <v>0</v>
      </c>
      <c r="AK176" s="25">
        <f t="shared" si="73"/>
        <v>0</v>
      </c>
      <c r="AL176" s="25">
        <f t="shared" si="74"/>
        <v>0</v>
      </c>
      <c r="AM176" s="25">
        <f t="shared" si="75"/>
        <v>0</v>
      </c>
      <c r="AN176" s="25">
        <f t="shared" si="76"/>
        <v>0</v>
      </c>
      <c r="AO176" s="25">
        <f t="shared" si="77"/>
        <v>0</v>
      </c>
      <c r="AP176" s="25">
        <f t="shared" si="78"/>
        <v>0</v>
      </c>
      <c r="AQ176" s="25">
        <f t="shared" si="79"/>
        <v>0</v>
      </c>
      <c r="AR176" s="25">
        <f t="shared" si="80"/>
        <v>0</v>
      </c>
      <c r="AS176" s="25">
        <f t="shared" si="81"/>
        <v>0</v>
      </c>
      <c r="AT176" s="25">
        <f t="shared" si="82"/>
        <v>0</v>
      </c>
      <c r="AU176" s="25">
        <f t="shared" si="83"/>
        <v>0</v>
      </c>
      <c r="AV176" s="25">
        <f t="shared" si="84"/>
        <v>0</v>
      </c>
      <c r="AW176" s="25">
        <f t="shared" si="85"/>
        <v>0</v>
      </c>
      <c r="AX176" s="25">
        <f t="shared" si="86"/>
        <v>0</v>
      </c>
      <c r="AY176" s="25">
        <f t="shared" si="87"/>
        <v>0</v>
      </c>
      <c r="AZ176" s="25">
        <f t="shared" si="88"/>
        <v>0</v>
      </c>
      <c r="BA176" s="25">
        <f t="shared" si="89"/>
        <v>0</v>
      </c>
      <c r="BB176" s="25">
        <f t="shared" si="90"/>
        <v>0</v>
      </c>
      <c r="BC176" s="25">
        <f t="shared" si="91"/>
        <v>0</v>
      </c>
      <c r="BD176" s="25">
        <f t="shared" si="92"/>
        <v>0</v>
      </c>
      <c r="BE176" s="25">
        <f t="shared" si="93"/>
        <v>0</v>
      </c>
      <c r="BF176" s="25">
        <f t="shared" si="94"/>
        <v>0</v>
      </c>
    </row>
    <row r="177" spans="1:58" s="25" customFormat="1" ht="15" customHeight="1" x14ac:dyDescent="0.25">
      <c r="A177" s="38" t="s">
        <v>253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95"/>
        <v>21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43"/>
      <c r="Y177" s="23"/>
      <c r="Z177" s="23"/>
      <c r="AA177" s="23"/>
      <c r="AB177" s="24">
        <f t="shared" si="96"/>
        <v>16</v>
      </c>
      <c r="AC177" s="24">
        <f t="shared" si="66"/>
        <v>5</v>
      </c>
      <c r="AD177" s="25">
        <v>4</v>
      </c>
      <c r="AE177" s="25">
        <f t="shared" si="67"/>
        <v>84</v>
      </c>
      <c r="AF177" s="25">
        <f t="shared" si="68"/>
        <v>0</v>
      </c>
      <c r="AG177" s="25">
        <f t="shared" si="69"/>
        <v>0</v>
      </c>
      <c r="AH177" s="25">
        <f t="shared" si="70"/>
        <v>0</v>
      </c>
      <c r="AI177" s="25">
        <f t="shared" si="71"/>
        <v>0</v>
      </c>
      <c r="AJ177" s="25">
        <f t="shared" si="72"/>
        <v>48</v>
      </c>
      <c r="AK177" s="25">
        <f t="shared" si="73"/>
        <v>0</v>
      </c>
      <c r="AL177" s="25">
        <f t="shared" si="74"/>
        <v>0</v>
      </c>
      <c r="AM177" s="25">
        <f t="shared" si="75"/>
        <v>84</v>
      </c>
      <c r="AN177" s="25">
        <f t="shared" si="76"/>
        <v>0</v>
      </c>
      <c r="AO177" s="25">
        <f t="shared" si="77"/>
        <v>0</v>
      </c>
      <c r="AP177" s="25">
        <f t="shared" si="78"/>
        <v>64</v>
      </c>
      <c r="AQ177" s="25">
        <f t="shared" si="79"/>
        <v>0</v>
      </c>
      <c r="AR177" s="25">
        <f t="shared" si="80"/>
        <v>0</v>
      </c>
      <c r="AS177" s="25">
        <f t="shared" si="81"/>
        <v>0</v>
      </c>
      <c r="AT177" s="25">
        <f t="shared" si="82"/>
        <v>0</v>
      </c>
      <c r="AU177" s="25">
        <f t="shared" si="83"/>
        <v>0</v>
      </c>
      <c r="AV177" s="25">
        <f t="shared" si="84"/>
        <v>0</v>
      </c>
      <c r="AW177" s="25">
        <f t="shared" si="85"/>
        <v>0</v>
      </c>
      <c r="AX177" s="25">
        <f t="shared" si="86"/>
        <v>0</v>
      </c>
      <c r="AY177" s="25">
        <f t="shared" si="87"/>
        <v>0</v>
      </c>
      <c r="AZ177" s="25">
        <f t="shared" si="88"/>
        <v>0</v>
      </c>
      <c r="BA177" s="25">
        <f t="shared" si="89"/>
        <v>0</v>
      </c>
      <c r="BB177" s="25">
        <f t="shared" si="90"/>
        <v>0</v>
      </c>
      <c r="BC177" s="25">
        <f t="shared" si="91"/>
        <v>0</v>
      </c>
      <c r="BD177" s="25">
        <f t="shared" si="92"/>
        <v>0</v>
      </c>
      <c r="BE177" s="25">
        <f t="shared" si="93"/>
        <v>64</v>
      </c>
      <c r="BF177" s="25">
        <f t="shared" si="94"/>
        <v>20</v>
      </c>
    </row>
    <row r="178" spans="1:58" s="25" customFormat="1" ht="15" customHeight="1" x14ac:dyDescent="0.25">
      <c r="A178" s="38" t="s">
        <v>254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95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43"/>
      <c r="Y178" s="23"/>
      <c r="Z178" s="23"/>
      <c r="AA178" s="23"/>
      <c r="AB178" s="24">
        <f t="shared" si="96"/>
        <v>0</v>
      </c>
      <c r="AC178" s="24">
        <f t="shared" si="66"/>
        <v>0</v>
      </c>
      <c r="AD178" s="25">
        <v>2.95</v>
      </c>
      <c r="AE178" s="25">
        <f t="shared" si="67"/>
        <v>0</v>
      </c>
      <c r="AF178" s="25">
        <f t="shared" si="68"/>
        <v>0</v>
      </c>
      <c r="AG178" s="25">
        <f t="shared" si="69"/>
        <v>0</v>
      </c>
      <c r="AH178" s="25">
        <f t="shared" si="70"/>
        <v>0</v>
      </c>
      <c r="AI178" s="25">
        <f t="shared" si="71"/>
        <v>0</v>
      </c>
      <c r="AJ178" s="25">
        <f t="shared" si="72"/>
        <v>0</v>
      </c>
      <c r="AK178" s="25">
        <f t="shared" si="73"/>
        <v>0</v>
      </c>
      <c r="AL178" s="25">
        <f t="shared" si="74"/>
        <v>0</v>
      </c>
      <c r="AM178" s="25">
        <f t="shared" si="75"/>
        <v>0</v>
      </c>
      <c r="AN178" s="25">
        <f t="shared" si="76"/>
        <v>0</v>
      </c>
      <c r="AO178" s="25">
        <f t="shared" si="77"/>
        <v>0</v>
      </c>
      <c r="AP178" s="25">
        <f t="shared" si="78"/>
        <v>0</v>
      </c>
      <c r="AQ178" s="25">
        <f t="shared" si="79"/>
        <v>0</v>
      </c>
      <c r="AR178" s="25">
        <f t="shared" si="80"/>
        <v>0</v>
      </c>
      <c r="AS178" s="25">
        <f t="shared" si="81"/>
        <v>0</v>
      </c>
      <c r="AT178" s="25">
        <f t="shared" si="82"/>
        <v>0</v>
      </c>
      <c r="AU178" s="25">
        <f t="shared" si="83"/>
        <v>0</v>
      </c>
      <c r="AV178" s="25">
        <f t="shared" si="84"/>
        <v>0</v>
      </c>
      <c r="AW178" s="25">
        <f t="shared" si="85"/>
        <v>0</v>
      </c>
      <c r="AX178" s="25">
        <f t="shared" si="86"/>
        <v>0</v>
      </c>
      <c r="AY178" s="25">
        <f t="shared" si="87"/>
        <v>0</v>
      </c>
      <c r="AZ178" s="25">
        <f t="shared" si="88"/>
        <v>0</v>
      </c>
      <c r="BA178" s="25">
        <f t="shared" si="89"/>
        <v>0</v>
      </c>
      <c r="BB178" s="25">
        <f t="shared" si="90"/>
        <v>0</v>
      </c>
      <c r="BC178" s="25">
        <f t="shared" si="91"/>
        <v>0</v>
      </c>
      <c r="BD178" s="25">
        <f t="shared" si="92"/>
        <v>0</v>
      </c>
      <c r="BE178" s="25">
        <f t="shared" si="93"/>
        <v>0</v>
      </c>
      <c r="BF178" s="25">
        <f t="shared" si="94"/>
        <v>0</v>
      </c>
    </row>
    <row r="179" spans="1:58" s="25" customFormat="1" ht="15" customHeight="1" x14ac:dyDescent="0.25">
      <c r="A179" s="38" t="s">
        <v>255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95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43"/>
      <c r="Y179" s="23"/>
      <c r="Z179" s="23"/>
      <c r="AA179" s="23"/>
      <c r="AB179" s="24">
        <f t="shared" si="96"/>
        <v>0</v>
      </c>
      <c r="AC179" s="24">
        <f t="shared" si="66"/>
        <v>0</v>
      </c>
      <c r="AD179" s="25">
        <v>4.0599999999999996</v>
      </c>
      <c r="AE179" s="25">
        <f t="shared" si="67"/>
        <v>0</v>
      </c>
      <c r="AF179" s="25">
        <f t="shared" si="68"/>
        <v>0</v>
      </c>
      <c r="AG179" s="25">
        <f t="shared" si="69"/>
        <v>0</v>
      </c>
      <c r="AH179" s="25">
        <f t="shared" si="70"/>
        <v>0</v>
      </c>
      <c r="AI179" s="25">
        <f t="shared" si="71"/>
        <v>0</v>
      </c>
      <c r="AJ179" s="25">
        <f t="shared" si="72"/>
        <v>0</v>
      </c>
      <c r="AK179" s="25">
        <f t="shared" si="73"/>
        <v>0</v>
      </c>
      <c r="AL179" s="25">
        <f t="shared" si="74"/>
        <v>0</v>
      </c>
      <c r="AM179" s="25">
        <f t="shared" si="75"/>
        <v>0</v>
      </c>
      <c r="AN179" s="25">
        <f t="shared" si="76"/>
        <v>0</v>
      </c>
      <c r="AO179" s="25">
        <f t="shared" si="77"/>
        <v>0</v>
      </c>
      <c r="AP179" s="25">
        <f t="shared" si="78"/>
        <v>0</v>
      </c>
      <c r="AQ179" s="25">
        <f t="shared" si="79"/>
        <v>0</v>
      </c>
      <c r="AR179" s="25">
        <f t="shared" si="80"/>
        <v>0</v>
      </c>
      <c r="AS179" s="25">
        <f t="shared" si="81"/>
        <v>0</v>
      </c>
      <c r="AT179" s="25">
        <f t="shared" si="82"/>
        <v>0</v>
      </c>
      <c r="AU179" s="25">
        <f t="shared" si="83"/>
        <v>0</v>
      </c>
      <c r="AV179" s="25">
        <f t="shared" si="84"/>
        <v>0</v>
      </c>
      <c r="AW179" s="25">
        <f t="shared" si="85"/>
        <v>0</v>
      </c>
      <c r="AX179" s="25">
        <f t="shared" si="86"/>
        <v>0</v>
      </c>
      <c r="AY179" s="25">
        <f t="shared" si="87"/>
        <v>0</v>
      </c>
      <c r="AZ179" s="25">
        <f t="shared" si="88"/>
        <v>0</v>
      </c>
      <c r="BA179" s="25">
        <f t="shared" si="89"/>
        <v>0</v>
      </c>
      <c r="BB179" s="25">
        <f t="shared" si="90"/>
        <v>0</v>
      </c>
      <c r="BC179" s="25">
        <f t="shared" si="91"/>
        <v>0</v>
      </c>
      <c r="BD179" s="25">
        <f t="shared" si="92"/>
        <v>0</v>
      </c>
      <c r="BE179" s="25">
        <f t="shared" si="93"/>
        <v>0</v>
      </c>
      <c r="BF179" s="25">
        <f t="shared" si="94"/>
        <v>0</v>
      </c>
    </row>
    <row r="180" spans="1:58" s="25" customFormat="1" ht="15" customHeight="1" x14ac:dyDescent="0.25">
      <c r="A180" s="38" t="s">
        <v>256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95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43"/>
      <c r="Y180" s="23"/>
      <c r="Z180" s="23"/>
      <c r="AA180" s="23"/>
      <c r="AB180" s="24">
        <f t="shared" si="96"/>
        <v>16</v>
      </c>
      <c r="AC180" s="24">
        <f t="shared" si="66"/>
        <v>-16</v>
      </c>
      <c r="AD180" s="25">
        <v>5.17</v>
      </c>
      <c r="AE180" s="25">
        <f t="shared" si="67"/>
        <v>0</v>
      </c>
      <c r="AF180" s="25">
        <f t="shared" si="68"/>
        <v>0</v>
      </c>
      <c r="AG180" s="25">
        <f t="shared" si="69"/>
        <v>0</v>
      </c>
      <c r="AH180" s="25">
        <f t="shared" si="70"/>
        <v>0</v>
      </c>
      <c r="AI180" s="25">
        <f t="shared" si="71"/>
        <v>0</v>
      </c>
      <c r="AJ180" s="25">
        <f t="shared" si="72"/>
        <v>0</v>
      </c>
      <c r="AK180" s="25">
        <f t="shared" si="73"/>
        <v>0</v>
      </c>
      <c r="AL180" s="25">
        <f t="shared" si="74"/>
        <v>0</v>
      </c>
      <c r="AM180" s="25">
        <f t="shared" si="75"/>
        <v>0</v>
      </c>
      <c r="AN180" s="25">
        <f t="shared" si="76"/>
        <v>0</v>
      </c>
      <c r="AO180" s="25">
        <f t="shared" si="77"/>
        <v>0</v>
      </c>
      <c r="AP180" s="25">
        <f t="shared" si="78"/>
        <v>0</v>
      </c>
      <c r="AQ180" s="25">
        <f t="shared" si="79"/>
        <v>0</v>
      </c>
      <c r="AR180" s="25">
        <f t="shared" si="80"/>
        <v>0</v>
      </c>
      <c r="AS180" s="25">
        <f t="shared" si="81"/>
        <v>0</v>
      </c>
      <c r="AT180" s="25">
        <f t="shared" si="82"/>
        <v>82.72</v>
      </c>
      <c r="AU180" s="25">
        <f t="shared" si="83"/>
        <v>0</v>
      </c>
      <c r="AV180" s="25">
        <f t="shared" si="84"/>
        <v>0</v>
      </c>
      <c r="AW180" s="25">
        <f t="shared" si="85"/>
        <v>0</v>
      </c>
      <c r="AX180" s="25">
        <f t="shared" si="86"/>
        <v>0</v>
      </c>
      <c r="AY180" s="25">
        <f t="shared" si="87"/>
        <v>0</v>
      </c>
      <c r="AZ180" s="25">
        <f t="shared" si="88"/>
        <v>0</v>
      </c>
      <c r="BA180" s="25">
        <f t="shared" si="89"/>
        <v>0</v>
      </c>
      <c r="BB180" s="25">
        <f t="shared" si="90"/>
        <v>0</v>
      </c>
      <c r="BC180" s="25">
        <f t="shared" si="91"/>
        <v>0</v>
      </c>
      <c r="BD180" s="25">
        <f t="shared" si="92"/>
        <v>0</v>
      </c>
      <c r="BE180" s="25">
        <f t="shared" si="93"/>
        <v>82.72</v>
      </c>
      <c r="BF180" s="25">
        <f t="shared" si="94"/>
        <v>-82.72</v>
      </c>
    </row>
    <row r="181" spans="1:58" s="25" customFormat="1" ht="15" customHeight="1" x14ac:dyDescent="0.25">
      <c r="A181" s="38" t="s">
        <v>257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95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43"/>
      <c r="Y181" s="23"/>
      <c r="Z181" s="23"/>
      <c r="AA181" s="23"/>
      <c r="AB181" s="24">
        <f t="shared" si="96"/>
        <v>0</v>
      </c>
      <c r="AC181" s="24">
        <f t="shared" si="66"/>
        <v>0</v>
      </c>
      <c r="AD181" s="25">
        <v>4.4000000000000004</v>
      </c>
      <c r="AE181" s="25">
        <f t="shared" si="67"/>
        <v>0</v>
      </c>
      <c r="AF181" s="25">
        <f t="shared" si="68"/>
        <v>0</v>
      </c>
      <c r="AG181" s="25">
        <f t="shared" si="69"/>
        <v>0</v>
      </c>
      <c r="AH181" s="25">
        <f t="shared" si="70"/>
        <v>0</v>
      </c>
      <c r="AI181" s="25">
        <f t="shared" si="71"/>
        <v>0</v>
      </c>
      <c r="AJ181" s="25">
        <f t="shared" si="72"/>
        <v>0</v>
      </c>
      <c r="AK181" s="25">
        <f t="shared" si="73"/>
        <v>0</v>
      </c>
      <c r="AL181" s="25">
        <f t="shared" si="74"/>
        <v>0</v>
      </c>
      <c r="AM181" s="25">
        <f t="shared" si="75"/>
        <v>0</v>
      </c>
      <c r="AN181" s="25">
        <f t="shared" si="76"/>
        <v>0</v>
      </c>
      <c r="AO181" s="25">
        <f t="shared" si="77"/>
        <v>0</v>
      </c>
      <c r="AP181" s="25">
        <f t="shared" si="78"/>
        <v>0</v>
      </c>
      <c r="AQ181" s="25">
        <f t="shared" si="79"/>
        <v>0</v>
      </c>
      <c r="AR181" s="25">
        <f t="shared" si="80"/>
        <v>0</v>
      </c>
      <c r="AS181" s="25">
        <f t="shared" si="81"/>
        <v>0</v>
      </c>
      <c r="AT181" s="25">
        <f t="shared" si="82"/>
        <v>0</v>
      </c>
      <c r="AU181" s="25">
        <f t="shared" si="83"/>
        <v>0</v>
      </c>
      <c r="AV181" s="25">
        <f t="shared" si="84"/>
        <v>0</v>
      </c>
      <c r="AW181" s="25">
        <f t="shared" si="85"/>
        <v>0</v>
      </c>
      <c r="AX181" s="25">
        <f t="shared" si="86"/>
        <v>0</v>
      </c>
      <c r="AY181" s="25">
        <f t="shared" si="87"/>
        <v>0</v>
      </c>
      <c r="AZ181" s="25">
        <f t="shared" si="88"/>
        <v>0</v>
      </c>
      <c r="BA181" s="25">
        <f t="shared" si="89"/>
        <v>0</v>
      </c>
      <c r="BB181" s="25">
        <f t="shared" si="90"/>
        <v>0</v>
      </c>
      <c r="BC181" s="25">
        <f t="shared" si="91"/>
        <v>0</v>
      </c>
      <c r="BD181" s="25">
        <f t="shared" si="92"/>
        <v>0</v>
      </c>
      <c r="BE181" s="25">
        <f t="shared" si="93"/>
        <v>0</v>
      </c>
      <c r="BF181" s="25">
        <f t="shared" si="94"/>
        <v>0</v>
      </c>
    </row>
    <row r="182" spans="1:58" s="25" customFormat="1" ht="15" customHeight="1" x14ac:dyDescent="0.25">
      <c r="A182" s="38" t="s">
        <v>258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95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43"/>
      <c r="Y182" s="23"/>
      <c r="Z182" s="23"/>
      <c r="AA182" s="23"/>
      <c r="AB182" s="24">
        <f t="shared" si="96"/>
        <v>0</v>
      </c>
      <c r="AC182" s="24">
        <f t="shared" si="66"/>
        <v>8</v>
      </c>
      <c r="AD182" s="25">
        <v>4.4000000000000004</v>
      </c>
      <c r="AE182" s="25">
        <f t="shared" si="67"/>
        <v>35.200000000000003</v>
      </c>
      <c r="AF182" s="25">
        <f t="shared" si="68"/>
        <v>0</v>
      </c>
      <c r="AG182" s="25">
        <f t="shared" si="69"/>
        <v>0</v>
      </c>
      <c r="AH182" s="25">
        <f t="shared" si="70"/>
        <v>0</v>
      </c>
      <c r="AI182" s="25">
        <f t="shared" si="71"/>
        <v>0</v>
      </c>
      <c r="AJ182" s="25">
        <f t="shared" si="72"/>
        <v>0</v>
      </c>
      <c r="AK182" s="25">
        <f t="shared" si="73"/>
        <v>0</v>
      </c>
      <c r="AL182" s="25">
        <f t="shared" si="74"/>
        <v>0</v>
      </c>
      <c r="AM182" s="25">
        <f t="shared" si="75"/>
        <v>35.200000000000003</v>
      </c>
      <c r="AN182" s="25">
        <f t="shared" si="76"/>
        <v>0</v>
      </c>
      <c r="AO182" s="25">
        <f t="shared" si="77"/>
        <v>0</v>
      </c>
      <c r="AP182" s="25">
        <f t="shared" si="78"/>
        <v>0</v>
      </c>
      <c r="AQ182" s="25">
        <f t="shared" si="79"/>
        <v>0</v>
      </c>
      <c r="AR182" s="25">
        <f t="shared" si="80"/>
        <v>0</v>
      </c>
      <c r="AS182" s="25">
        <f t="shared" si="81"/>
        <v>0</v>
      </c>
      <c r="AT182" s="25">
        <f t="shared" si="82"/>
        <v>0</v>
      </c>
      <c r="AU182" s="25">
        <f t="shared" si="83"/>
        <v>0</v>
      </c>
      <c r="AV182" s="25">
        <f t="shared" si="84"/>
        <v>0</v>
      </c>
      <c r="AW182" s="25">
        <f t="shared" si="85"/>
        <v>0</v>
      </c>
      <c r="AX182" s="25">
        <f t="shared" si="86"/>
        <v>0</v>
      </c>
      <c r="AY182" s="25">
        <f t="shared" si="87"/>
        <v>0</v>
      </c>
      <c r="AZ182" s="25">
        <f t="shared" si="88"/>
        <v>0</v>
      </c>
      <c r="BA182" s="25">
        <f t="shared" si="89"/>
        <v>0</v>
      </c>
      <c r="BB182" s="25">
        <f t="shared" si="90"/>
        <v>0</v>
      </c>
      <c r="BC182" s="25">
        <f t="shared" si="91"/>
        <v>0</v>
      </c>
      <c r="BD182" s="25">
        <f t="shared" si="92"/>
        <v>0</v>
      </c>
      <c r="BE182" s="25">
        <f t="shared" si="93"/>
        <v>0</v>
      </c>
      <c r="BF182" s="25">
        <f t="shared" si="94"/>
        <v>35.200000000000003</v>
      </c>
    </row>
    <row r="183" spans="1:58" s="25" customFormat="1" ht="15" customHeight="1" x14ac:dyDescent="0.25">
      <c r="A183" s="38" t="s">
        <v>259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95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43"/>
      <c r="Y183" s="23"/>
      <c r="Z183" s="23"/>
      <c r="AA183" s="23"/>
      <c r="AB183" s="24">
        <f t="shared" si="96"/>
        <v>0</v>
      </c>
      <c r="AC183" s="24">
        <f t="shared" si="66"/>
        <v>0</v>
      </c>
      <c r="AD183" s="25">
        <v>18.399999999999999</v>
      </c>
      <c r="AE183" s="25">
        <f t="shared" si="67"/>
        <v>0</v>
      </c>
      <c r="AF183" s="25">
        <f t="shared" si="68"/>
        <v>0</v>
      </c>
      <c r="AG183" s="25">
        <f t="shared" si="69"/>
        <v>0</v>
      </c>
      <c r="AH183" s="25">
        <f t="shared" si="70"/>
        <v>0</v>
      </c>
      <c r="AI183" s="25">
        <f t="shared" si="71"/>
        <v>0</v>
      </c>
      <c r="AJ183" s="25">
        <f t="shared" si="72"/>
        <v>0</v>
      </c>
      <c r="AK183" s="25">
        <f t="shared" si="73"/>
        <v>0</v>
      </c>
      <c r="AL183" s="25">
        <f t="shared" si="74"/>
        <v>0</v>
      </c>
      <c r="AM183" s="25">
        <f t="shared" si="75"/>
        <v>0</v>
      </c>
      <c r="AN183" s="25">
        <f t="shared" si="76"/>
        <v>0</v>
      </c>
      <c r="AO183" s="25">
        <f t="shared" si="77"/>
        <v>0</v>
      </c>
      <c r="AP183" s="25">
        <f t="shared" si="78"/>
        <v>0</v>
      </c>
      <c r="AQ183" s="25">
        <f t="shared" si="79"/>
        <v>0</v>
      </c>
      <c r="AR183" s="25">
        <f t="shared" si="80"/>
        <v>0</v>
      </c>
      <c r="AS183" s="25">
        <f t="shared" si="81"/>
        <v>0</v>
      </c>
      <c r="AT183" s="25">
        <f t="shared" si="82"/>
        <v>0</v>
      </c>
      <c r="AU183" s="25">
        <f t="shared" si="83"/>
        <v>0</v>
      </c>
      <c r="AV183" s="25">
        <f t="shared" si="84"/>
        <v>0</v>
      </c>
      <c r="AW183" s="25">
        <f t="shared" si="85"/>
        <v>0</v>
      </c>
      <c r="AX183" s="25">
        <f t="shared" si="86"/>
        <v>0</v>
      </c>
      <c r="AY183" s="25">
        <f t="shared" si="87"/>
        <v>0</v>
      </c>
      <c r="AZ183" s="25">
        <f t="shared" si="88"/>
        <v>0</v>
      </c>
      <c r="BA183" s="25">
        <f t="shared" si="89"/>
        <v>0</v>
      </c>
      <c r="BB183" s="25">
        <f t="shared" si="90"/>
        <v>0</v>
      </c>
      <c r="BC183" s="25">
        <f t="shared" si="91"/>
        <v>0</v>
      </c>
      <c r="BD183" s="25">
        <f t="shared" si="92"/>
        <v>0</v>
      </c>
      <c r="BE183" s="25">
        <f t="shared" si="93"/>
        <v>0</v>
      </c>
      <c r="BF183" s="25">
        <f t="shared" si="94"/>
        <v>0</v>
      </c>
    </row>
    <row r="184" spans="1:58" s="25" customFormat="1" ht="15" customHeight="1" x14ac:dyDescent="0.25">
      <c r="A184" s="38" t="s">
        <v>260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95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43"/>
      <c r="Y184" s="23"/>
      <c r="Z184" s="23"/>
      <c r="AA184" s="23"/>
      <c r="AB184" s="24">
        <f t="shared" si="96"/>
        <v>0</v>
      </c>
      <c r="AC184" s="24">
        <f t="shared" si="66"/>
        <v>0</v>
      </c>
      <c r="AD184" s="25">
        <v>18.399999999999999</v>
      </c>
      <c r="AE184" s="25">
        <f t="shared" si="67"/>
        <v>0</v>
      </c>
      <c r="AF184" s="25">
        <f t="shared" si="68"/>
        <v>0</v>
      </c>
      <c r="AG184" s="25">
        <f t="shared" si="69"/>
        <v>0</v>
      </c>
      <c r="AH184" s="25">
        <f t="shared" si="70"/>
        <v>0</v>
      </c>
      <c r="AI184" s="25">
        <f t="shared" si="71"/>
        <v>0</v>
      </c>
      <c r="AJ184" s="25">
        <f t="shared" si="72"/>
        <v>0</v>
      </c>
      <c r="AK184" s="25">
        <f t="shared" si="73"/>
        <v>0</v>
      </c>
      <c r="AL184" s="25">
        <f t="shared" si="74"/>
        <v>0</v>
      </c>
      <c r="AM184" s="25">
        <f t="shared" si="75"/>
        <v>0</v>
      </c>
      <c r="AN184" s="25">
        <f t="shared" si="76"/>
        <v>0</v>
      </c>
      <c r="AO184" s="25">
        <f t="shared" si="77"/>
        <v>0</v>
      </c>
      <c r="AP184" s="25">
        <f t="shared" si="78"/>
        <v>0</v>
      </c>
      <c r="AQ184" s="25">
        <f t="shared" si="79"/>
        <v>0</v>
      </c>
      <c r="AR184" s="25">
        <f t="shared" si="80"/>
        <v>0</v>
      </c>
      <c r="AS184" s="25">
        <f t="shared" si="81"/>
        <v>0</v>
      </c>
      <c r="AT184" s="25">
        <f t="shared" si="82"/>
        <v>0</v>
      </c>
      <c r="AU184" s="25">
        <f t="shared" si="83"/>
        <v>0</v>
      </c>
      <c r="AV184" s="25">
        <f t="shared" si="84"/>
        <v>0</v>
      </c>
      <c r="AW184" s="25">
        <f t="shared" si="85"/>
        <v>0</v>
      </c>
      <c r="AX184" s="25">
        <f t="shared" si="86"/>
        <v>0</v>
      </c>
      <c r="AY184" s="25">
        <f t="shared" si="87"/>
        <v>0</v>
      </c>
      <c r="AZ184" s="25">
        <f t="shared" si="88"/>
        <v>0</v>
      </c>
      <c r="BA184" s="25">
        <f t="shared" si="89"/>
        <v>0</v>
      </c>
      <c r="BB184" s="25">
        <f t="shared" si="90"/>
        <v>0</v>
      </c>
      <c r="BC184" s="25">
        <f t="shared" si="91"/>
        <v>0</v>
      </c>
      <c r="BD184" s="25">
        <f t="shared" si="92"/>
        <v>0</v>
      </c>
      <c r="BE184" s="25">
        <f t="shared" si="93"/>
        <v>0</v>
      </c>
      <c r="BF184" s="25">
        <f t="shared" si="94"/>
        <v>0</v>
      </c>
    </row>
    <row r="185" spans="1:58" s="25" customFormat="1" ht="15" customHeight="1" x14ac:dyDescent="0.25">
      <c r="A185" s="38" t="s">
        <v>261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95"/>
        <v>69</v>
      </c>
      <c r="K185" s="21"/>
      <c r="L185" s="23"/>
      <c r="M185" s="23"/>
      <c r="N185" s="43"/>
      <c r="O185" s="43"/>
      <c r="P185" s="23"/>
      <c r="Q185" s="23"/>
      <c r="R185" s="23"/>
      <c r="S185" s="23">
        <v>54</v>
      </c>
      <c r="T185" s="23"/>
      <c r="U185" s="23"/>
      <c r="V185" s="23"/>
      <c r="W185" s="23"/>
      <c r="X185" s="43"/>
      <c r="Y185" s="23"/>
      <c r="Z185" s="23"/>
      <c r="AA185" s="23"/>
      <c r="AB185" s="24">
        <f t="shared" si="96"/>
        <v>0</v>
      </c>
      <c r="AC185" s="24">
        <f t="shared" si="66"/>
        <v>69</v>
      </c>
      <c r="AD185" s="25">
        <v>2.19</v>
      </c>
      <c r="AE185" s="25">
        <f t="shared" si="67"/>
        <v>151.10999999999999</v>
      </c>
      <c r="AF185" s="25">
        <f t="shared" si="68"/>
        <v>0</v>
      </c>
      <c r="AG185" s="25">
        <f t="shared" si="69"/>
        <v>0</v>
      </c>
      <c r="AH185" s="25">
        <f t="shared" si="70"/>
        <v>0</v>
      </c>
      <c r="AI185" s="25">
        <f t="shared" si="71"/>
        <v>41.61</v>
      </c>
      <c r="AJ185" s="25">
        <f t="shared" si="72"/>
        <v>0</v>
      </c>
      <c r="AK185" s="25">
        <f t="shared" si="73"/>
        <v>0</v>
      </c>
      <c r="AL185" s="25">
        <f t="shared" si="74"/>
        <v>0</v>
      </c>
      <c r="AM185" s="25">
        <f t="shared" si="75"/>
        <v>151.10999999999999</v>
      </c>
      <c r="AN185" s="25">
        <f t="shared" si="76"/>
        <v>0</v>
      </c>
      <c r="AO185" s="25">
        <f t="shared" si="77"/>
        <v>0</v>
      </c>
      <c r="AP185" s="25">
        <f t="shared" si="78"/>
        <v>0</v>
      </c>
      <c r="AQ185" s="25">
        <f t="shared" si="79"/>
        <v>0</v>
      </c>
      <c r="AR185" s="25">
        <f t="shared" si="80"/>
        <v>0</v>
      </c>
      <c r="AS185" s="25">
        <f t="shared" si="81"/>
        <v>0</v>
      </c>
      <c r="AT185" s="25">
        <f t="shared" si="82"/>
        <v>0</v>
      </c>
      <c r="AU185" s="25">
        <f t="shared" si="83"/>
        <v>0</v>
      </c>
      <c r="AV185" s="25">
        <f t="shared" si="84"/>
        <v>118.25999999999999</v>
      </c>
      <c r="AW185" s="25">
        <f t="shared" si="85"/>
        <v>0</v>
      </c>
      <c r="AX185" s="25">
        <f t="shared" si="86"/>
        <v>0</v>
      </c>
      <c r="AY185" s="25">
        <f t="shared" si="87"/>
        <v>0</v>
      </c>
      <c r="AZ185" s="25">
        <f t="shared" si="88"/>
        <v>0</v>
      </c>
      <c r="BA185" s="25">
        <f t="shared" si="89"/>
        <v>0</v>
      </c>
      <c r="BB185" s="25">
        <f t="shared" si="90"/>
        <v>0</v>
      </c>
      <c r="BC185" s="25">
        <f t="shared" si="91"/>
        <v>0</v>
      </c>
      <c r="BD185" s="25">
        <f t="shared" si="92"/>
        <v>0</v>
      </c>
      <c r="BE185" s="25">
        <f t="shared" si="93"/>
        <v>0</v>
      </c>
      <c r="BF185" s="25">
        <f t="shared" si="94"/>
        <v>151.10999999999999</v>
      </c>
    </row>
    <row r="186" spans="1:58" s="25" customFormat="1" ht="15" customHeight="1" x14ac:dyDescent="0.25">
      <c r="A186" s="38" t="s">
        <v>262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95"/>
        <v>0</v>
      </c>
      <c r="K186" s="21"/>
      <c r="L186" s="23"/>
      <c r="M186" s="23"/>
      <c r="N186" s="43"/>
      <c r="O186" s="43"/>
      <c r="P186" s="23"/>
      <c r="Q186" s="23"/>
      <c r="R186" s="23"/>
      <c r="S186" s="23"/>
      <c r="T186" s="23">
        <v>10</v>
      </c>
      <c r="U186" s="23"/>
      <c r="V186" s="23"/>
      <c r="W186" s="23"/>
      <c r="X186" s="43"/>
      <c r="Y186" s="23"/>
      <c r="Z186" s="23"/>
      <c r="AA186" s="23"/>
      <c r="AB186" s="24">
        <f t="shared" si="96"/>
        <v>0</v>
      </c>
      <c r="AC186" s="24">
        <f t="shared" si="66"/>
        <v>0</v>
      </c>
      <c r="AD186" s="25">
        <v>3.07</v>
      </c>
      <c r="AE186" s="25">
        <f t="shared" si="67"/>
        <v>0</v>
      </c>
      <c r="AF186" s="25">
        <f t="shared" si="68"/>
        <v>18.419999999999998</v>
      </c>
      <c r="AG186" s="25">
        <f t="shared" si="69"/>
        <v>0</v>
      </c>
      <c r="AH186" s="25">
        <f t="shared" si="70"/>
        <v>0</v>
      </c>
      <c r="AI186" s="25">
        <f t="shared" si="71"/>
        <v>0</v>
      </c>
      <c r="AJ186" s="25">
        <f t="shared" si="72"/>
        <v>15.35</v>
      </c>
      <c r="AK186" s="25">
        <f t="shared" si="73"/>
        <v>0</v>
      </c>
      <c r="AL186" s="25">
        <f t="shared" si="74"/>
        <v>0</v>
      </c>
      <c r="AM186" s="25">
        <f t="shared" si="75"/>
        <v>0</v>
      </c>
      <c r="AN186" s="25">
        <f t="shared" si="76"/>
        <v>0</v>
      </c>
      <c r="AO186" s="25">
        <f t="shared" si="77"/>
        <v>0</v>
      </c>
      <c r="AP186" s="25">
        <f t="shared" si="78"/>
        <v>0</v>
      </c>
      <c r="AQ186" s="25">
        <f t="shared" si="79"/>
        <v>0</v>
      </c>
      <c r="AR186" s="25">
        <f t="shared" si="80"/>
        <v>0</v>
      </c>
      <c r="AS186" s="25">
        <f t="shared" si="81"/>
        <v>0</v>
      </c>
      <c r="AT186" s="25">
        <f t="shared" si="82"/>
        <v>0</v>
      </c>
      <c r="AU186" s="25">
        <f t="shared" si="83"/>
        <v>0</v>
      </c>
      <c r="AV186" s="25">
        <f t="shared" si="84"/>
        <v>0</v>
      </c>
      <c r="AW186" s="25">
        <f t="shared" si="85"/>
        <v>30.7</v>
      </c>
      <c r="AX186" s="25">
        <f t="shared" si="86"/>
        <v>0</v>
      </c>
      <c r="AY186" s="25">
        <f t="shared" si="87"/>
        <v>0</v>
      </c>
      <c r="AZ186" s="25">
        <f t="shared" si="88"/>
        <v>0</v>
      </c>
      <c r="BA186" s="25">
        <f t="shared" si="89"/>
        <v>0</v>
      </c>
      <c r="BB186" s="25">
        <f t="shared" si="90"/>
        <v>0</v>
      </c>
      <c r="BC186" s="25">
        <f t="shared" si="91"/>
        <v>0</v>
      </c>
      <c r="BD186" s="25">
        <f t="shared" si="92"/>
        <v>0</v>
      </c>
      <c r="BE186" s="25">
        <f t="shared" si="93"/>
        <v>0</v>
      </c>
      <c r="BF186" s="25">
        <f t="shared" si="94"/>
        <v>0</v>
      </c>
    </row>
    <row r="187" spans="1:58" s="25" customFormat="1" ht="15" customHeight="1" x14ac:dyDescent="0.25">
      <c r="A187" s="38" t="s">
        <v>263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95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43"/>
      <c r="Y187" s="23"/>
      <c r="Z187" s="23"/>
      <c r="AA187" s="23"/>
      <c r="AB187" s="24">
        <f t="shared" si="96"/>
        <v>0</v>
      </c>
      <c r="AC187" s="24">
        <f t="shared" si="66"/>
        <v>0</v>
      </c>
      <c r="AD187" s="25">
        <v>4.68</v>
      </c>
      <c r="AE187" s="25">
        <f t="shared" si="67"/>
        <v>0</v>
      </c>
      <c r="AF187" s="25">
        <f t="shared" si="68"/>
        <v>0</v>
      </c>
      <c r="AG187" s="25">
        <f t="shared" si="69"/>
        <v>0</v>
      </c>
      <c r="AH187" s="25">
        <f t="shared" si="70"/>
        <v>0</v>
      </c>
      <c r="AI187" s="25">
        <f t="shared" si="71"/>
        <v>0</v>
      </c>
      <c r="AJ187" s="25">
        <f t="shared" si="72"/>
        <v>0</v>
      </c>
      <c r="AK187" s="25">
        <f t="shared" si="73"/>
        <v>0</v>
      </c>
      <c r="AL187" s="25">
        <f t="shared" si="74"/>
        <v>0</v>
      </c>
      <c r="AM187" s="25">
        <f t="shared" si="75"/>
        <v>0</v>
      </c>
      <c r="AN187" s="25">
        <f t="shared" si="76"/>
        <v>0</v>
      </c>
      <c r="AO187" s="25">
        <f t="shared" si="77"/>
        <v>0</v>
      </c>
      <c r="AP187" s="25">
        <f t="shared" si="78"/>
        <v>0</v>
      </c>
      <c r="AQ187" s="25">
        <f t="shared" si="79"/>
        <v>0</v>
      </c>
      <c r="AR187" s="25">
        <f t="shared" si="80"/>
        <v>0</v>
      </c>
      <c r="AS187" s="25">
        <f t="shared" si="81"/>
        <v>0</v>
      </c>
      <c r="AT187" s="25">
        <f t="shared" si="82"/>
        <v>0</v>
      </c>
      <c r="AU187" s="25">
        <f t="shared" si="83"/>
        <v>0</v>
      </c>
      <c r="AV187" s="25">
        <f t="shared" si="84"/>
        <v>0</v>
      </c>
      <c r="AW187" s="25">
        <f t="shared" si="85"/>
        <v>0</v>
      </c>
      <c r="AX187" s="25">
        <f t="shared" si="86"/>
        <v>0</v>
      </c>
      <c r="AY187" s="25">
        <f t="shared" si="87"/>
        <v>0</v>
      </c>
      <c r="AZ187" s="25">
        <f t="shared" si="88"/>
        <v>0</v>
      </c>
      <c r="BA187" s="25">
        <f t="shared" si="89"/>
        <v>0</v>
      </c>
      <c r="BB187" s="25">
        <f t="shared" si="90"/>
        <v>0</v>
      </c>
      <c r="BC187" s="25">
        <f t="shared" si="91"/>
        <v>0</v>
      </c>
      <c r="BD187" s="25">
        <f t="shared" si="92"/>
        <v>0</v>
      </c>
      <c r="BE187" s="25">
        <f t="shared" si="93"/>
        <v>0</v>
      </c>
      <c r="BF187" s="25">
        <f t="shared" si="94"/>
        <v>0</v>
      </c>
    </row>
    <row r="188" spans="1:58" s="25" customFormat="1" ht="15" customHeight="1" x14ac:dyDescent="0.25">
      <c r="A188" s="38" t="s">
        <v>264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95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43"/>
      <c r="Y188" s="23"/>
      <c r="Z188" s="23"/>
      <c r="AA188" s="23"/>
      <c r="AB188" s="24">
        <f t="shared" si="96"/>
        <v>0</v>
      </c>
      <c r="AC188" s="24">
        <f t="shared" si="66"/>
        <v>0</v>
      </c>
      <c r="AD188" s="25">
        <v>3.44</v>
      </c>
      <c r="AE188" s="25">
        <f t="shared" si="67"/>
        <v>0</v>
      </c>
      <c r="AF188" s="25">
        <f t="shared" si="68"/>
        <v>0</v>
      </c>
      <c r="AG188" s="25">
        <f t="shared" si="69"/>
        <v>0</v>
      </c>
      <c r="AH188" s="25">
        <f t="shared" si="70"/>
        <v>0</v>
      </c>
      <c r="AI188" s="25">
        <f t="shared" si="71"/>
        <v>0</v>
      </c>
      <c r="AJ188" s="25">
        <f t="shared" si="72"/>
        <v>0</v>
      </c>
      <c r="AK188" s="25">
        <f t="shared" si="73"/>
        <v>0</v>
      </c>
      <c r="AL188" s="25">
        <f t="shared" si="74"/>
        <v>0</v>
      </c>
      <c r="AM188" s="25">
        <f t="shared" si="75"/>
        <v>0</v>
      </c>
      <c r="AN188" s="25">
        <f t="shared" si="76"/>
        <v>0</v>
      </c>
      <c r="AO188" s="25">
        <f t="shared" si="77"/>
        <v>0</v>
      </c>
      <c r="AP188" s="25">
        <f t="shared" si="78"/>
        <v>0</v>
      </c>
      <c r="AQ188" s="25">
        <f t="shared" si="79"/>
        <v>0</v>
      </c>
      <c r="AR188" s="25">
        <f t="shared" si="80"/>
        <v>0</v>
      </c>
      <c r="AS188" s="25">
        <f t="shared" si="81"/>
        <v>0</v>
      </c>
      <c r="AT188" s="25">
        <f t="shared" si="82"/>
        <v>0</v>
      </c>
      <c r="AU188" s="25">
        <f t="shared" si="83"/>
        <v>0</v>
      </c>
      <c r="AV188" s="25">
        <f t="shared" si="84"/>
        <v>0</v>
      </c>
      <c r="AW188" s="25">
        <f t="shared" si="85"/>
        <v>0</v>
      </c>
      <c r="AX188" s="25">
        <f t="shared" si="86"/>
        <v>0</v>
      </c>
      <c r="AY188" s="25">
        <f t="shared" si="87"/>
        <v>0</v>
      </c>
      <c r="AZ188" s="25">
        <f t="shared" si="88"/>
        <v>0</v>
      </c>
      <c r="BA188" s="25">
        <f t="shared" si="89"/>
        <v>0</v>
      </c>
      <c r="BB188" s="25">
        <f t="shared" si="90"/>
        <v>0</v>
      </c>
      <c r="BC188" s="25">
        <f t="shared" si="91"/>
        <v>0</v>
      </c>
      <c r="BD188" s="25">
        <f t="shared" si="92"/>
        <v>0</v>
      </c>
      <c r="BE188" s="25">
        <f t="shared" si="93"/>
        <v>0</v>
      </c>
      <c r="BF188" s="25">
        <f t="shared" si="94"/>
        <v>0</v>
      </c>
    </row>
    <row r="189" spans="1:58" s="25" customFormat="1" ht="15" customHeight="1" x14ac:dyDescent="0.25">
      <c r="A189" s="38" t="s">
        <v>265</v>
      </c>
      <c r="B189" s="38">
        <v>0</v>
      </c>
      <c r="C189" s="27">
        <v>119</v>
      </c>
      <c r="D189" s="27"/>
      <c r="E189" s="20">
        <v>42</v>
      </c>
      <c r="F189" s="20">
        <v>36</v>
      </c>
      <c r="G189" s="20"/>
      <c r="H189" s="20"/>
      <c r="I189" s="20"/>
      <c r="J189" s="20">
        <f t="shared" si="95"/>
        <v>42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43"/>
      <c r="Y189" s="23"/>
      <c r="Z189" s="23"/>
      <c r="AA189" s="23"/>
      <c r="AB189" s="24">
        <f t="shared" si="96"/>
        <v>112</v>
      </c>
      <c r="AC189" s="24">
        <f t="shared" si="66"/>
        <v>-70</v>
      </c>
      <c r="AD189" s="25">
        <v>4.3</v>
      </c>
      <c r="AE189" s="25">
        <f t="shared" si="67"/>
        <v>0</v>
      </c>
      <c r="AF189" s="25">
        <f t="shared" si="68"/>
        <v>511.7</v>
      </c>
      <c r="AG189" s="25">
        <f t="shared" si="69"/>
        <v>0</v>
      </c>
      <c r="AH189" s="25">
        <f t="shared" si="70"/>
        <v>180.6</v>
      </c>
      <c r="AI189" s="25">
        <f t="shared" si="71"/>
        <v>154.79999999999998</v>
      </c>
      <c r="AJ189" s="25">
        <f t="shared" si="72"/>
        <v>0</v>
      </c>
      <c r="AK189" s="25">
        <f t="shared" si="73"/>
        <v>0</v>
      </c>
      <c r="AL189" s="25">
        <f t="shared" si="74"/>
        <v>0</v>
      </c>
      <c r="AM189" s="25">
        <f t="shared" si="75"/>
        <v>180.6</v>
      </c>
      <c r="AN189" s="25">
        <f t="shared" si="76"/>
        <v>0</v>
      </c>
      <c r="AO189" s="25">
        <f t="shared" si="77"/>
        <v>387</v>
      </c>
      <c r="AP189" s="25">
        <f t="shared" si="78"/>
        <v>0</v>
      </c>
      <c r="AQ189" s="25">
        <f t="shared" si="79"/>
        <v>0</v>
      </c>
      <c r="AR189" s="25">
        <f t="shared" si="80"/>
        <v>0</v>
      </c>
      <c r="AS189" s="25">
        <f t="shared" si="81"/>
        <v>0</v>
      </c>
      <c r="AT189" s="25">
        <f t="shared" si="82"/>
        <v>94.6</v>
      </c>
      <c r="AU189" s="25">
        <f t="shared" si="83"/>
        <v>0</v>
      </c>
      <c r="AV189" s="25">
        <f t="shared" si="84"/>
        <v>0</v>
      </c>
      <c r="AW189" s="25">
        <f t="shared" si="85"/>
        <v>0</v>
      </c>
      <c r="AX189" s="25">
        <f t="shared" si="86"/>
        <v>0</v>
      </c>
      <c r="AY189" s="25">
        <f t="shared" si="87"/>
        <v>0</v>
      </c>
      <c r="AZ189" s="25">
        <f t="shared" si="88"/>
        <v>0</v>
      </c>
      <c r="BA189" s="25">
        <f t="shared" si="89"/>
        <v>0</v>
      </c>
      <c r="BB189" s="25">
        <f t="shared" si="90"/>
        <v>0</v>
      </c>
      <c r="BC189" s="25">
        <f t="shared" si="91"/>
        <v>0</v>
      </c>
      <c r="BD189" s="25">
        <f t="shared" si="92"/>
        <v>0</v>
      </c>
      <c r="BE189" s="25">
        <f t="shared" si="93"/>
        <v>481.59999999999997</v>
      </c>
      <c r="BF189" s="25">
        <f t="shared" si="94"/>
        <v>-301</v>
      </c>
    </row>
    <row r="190" spans="1:58" s="25" customFormat="1" ht="15" customHeight="1" x14ac:dyDescent="0.25">
      <c r="A190" s="38" t="s">
        <v>266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>
        <f t="shared" si="95"/>
        <v>306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43"/>
      <c r="Y190" s="23"/>
      <c r="Z190" s="23"/>
      <c r="AA190" s="23"/>
      <c r="AB190" s="24">
        <f t="shared" si="96"/>
        <v>0</v>
      </c>
      <c r="AC190" s="24">
        <f t="shared" si="66"/>
        <v>306</v>
      </c>
      <c r="AD190" s="25">
        <v>5.16</v>
      </c>
      <c r="AE190" s="25">
        <f t="shared" si="67"/>
        <v>0</v>
      </c>
      <c r="AF190" s="25">
        <f t="shared" si="68"/>
        <v>897.84</v>
      </c>
      <c r="AG190" s="25">
        <f t="shared" si="69"/>
        <v>0</v>
      </c>
      <c r="AH190" s="25">
        <f t="shared" si="70"/>
        <v>1578.96</v>
      </c>
      <c r="AI190" s="25">
        <f t="shared" si="71"/>
        <v>0</v>
      </c>
      <c r="AJ190" s="25">
        <f t="shared" si="72"/>
        <v>0</v>
      </c>
      <c r="AK190" s="25">
        <f t="shared" si="73"/>
        <v>0</v>
      </c>
      <c r="AL190" s="25">
        <f t="shared" si="74"/>
        <v>0</v>
      </c>
      <c r="AM190" s="25">
        <f t="shared" si="75"/>
        <v>1578.96</v>
      </c>
      <c r="AN190" s="25">
        <f t="shared" si="76"/>
        <v>0</v>
      </c>
      <c r="AO190" s="25">
        <f t="shared" si="77"/>
        <v>0</v>
      </c>
      <c r="AP190" s="25">
        <f t="shared" si="78"/>
        <v>0</v>
      </c>
      <c r="AQ190" s="25">
        <f t="shared" si="79"/>
        <v>0</v>
      </c>
      <c r="AR190" s="25">
        <f t="shared" si="80"/>
        <v>0</v>
      </c>
      <c r="AS190" s="25">
        <f t="shared" si="81"/>
        <v>0</v>
      </c>
      <c r="AT190" s="25">
        <f t="shared" si="82"/>
        <v>0</v>
      </c>
      <c r="AU190" s="25">
        <f t="shared" si="83"/>
        <v>0</v>
      </c>
      <c r="AV190" s="25">
        <f t="shared" si="84"/>
        <v>0</v>
      </c>
      <c r="AW190" s="25">
        <f t="shared" si="85"/>
        <v>0</v>
      </c>
      <c r="AX190" s="25">
        <f t="shared" si="86"/>
        <v>0</v>
      </c>
      <c r="AY190" s="25">
        <f t="shared" si="87"/>
        <v>0</v>
      </c>
      <c r="AZ190" s="25">
        <f t="shared" si="88"/>
        <v>0</v>
      </c>
      <c r="BA190" s="25">
        <f t="shared" si="89"/>
        <v>0</v>
      </c>
      <c r="BB190" s="25">
        <f t="shared" si="90"/>
        <v>0</v>
      </c>
      <c r="BC190" s="25">
        <f t="shared" si="91"/>
        <v>0</v>
      </c>
      <c r="BD190" s="25">
        <f t="shared" si="92"/>
        <v>0</v>
      </c>
      <c r="BE190" s="25">
        <f t="shared" si="93"/>
        <v>0</v>
      </c>
      <c r="BF190" s="25">
        <f t="shared" si="94"/>
        <v>1578.96</v>
      </c>
    </row>
    <row r="191" spans="1:58" s="25" customFormat="1" ht="15" customHeight="1" x14ac:dyDescent="0.25">
      <c r="A191" s="38" t="s">
        <v>267</v>
      </c>
      <c r="B191" s="38">
        <v>0</v>
      </c>
      <c r="C191" s="27">
        <v>61</v>
      </c>
      <c r="D191" s="27"/>
      <c r="E191" s="20">
        <v>96</v>
      </c>
      <c r="F191" s="20">
        <v>48</v>
      </c>
      <c r="G191" s="20"/>
      <c r="H191" s="20"/>
      <c r="I191" s="20"/>
      <c r="J191" s="20">
        <f t="shared" si="95"/>
        <v>96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43"/>
      <c r="Y191" s="23"/>
      <c r="Z191" s="23"/>
      <c r="AA191" s="23"/>
      <c r="AB191" s="24">
        <f t="shared" si="96"/>
        <v>0</v>
      </c>
      <c r="AC191" s="24">
        <f t="shared" si="66"/>
        <v>96</v>
      </c>
      <c r="AD191" s="25">
        <v>7.31</v>
      </c>
      <c r="AE191" s="25">
        <f t="shared" si="67"/>
        <v>0</v>
      </c>
      <c r="AF191" s="25">
        <f t="shared" si="68"/>
        <v>445.90999999999997</v>
      </c>
      <c r="AG191" s="25">
        <f t="shared" si="69"/>
        <v>0</v>
      </c>
      <c r="AH191" s="25">
        <f t="shared" si="70"/>
        <v>701.76</v>
      </c>
      <c r="AI191" s="25">
        <f t="shared" si="71"/>
        <v>350.88</v>
      </c>
      <c r="AJ191" s="25">
        <f t="shared" si="72"/>
        <v>0</v>
      </c>
      <c r="AK191" s="25">
        <f t="shared" si="73"/>
        <v>0</v>
      </c>
      <c r="AL191" s="25">
        <f t="shared" si="74"/>
        <v>0</v>
      </c>
      <c r="AM191" s="25">
        <f t="shared" si="75"/>
        <v>701.76</v>
      </c>
      <c r="AN191" s="25">
        <f t="shared" si="76"/>
        <v>0</v>
      </c>
      <c r="AO191" s="25">
        <f t="shared" si="77"/>
        <v>0</v>
      </c>
      <c r="AP191" s="25">
        <f t="shared" si="78"/>
        <v>0</v>
      </c>
      <c r="AQ191" s="25">
        <f t="shared" si="79"/>
        <v>0</v>
      </c>
      <c r="AR191" s="25">
        <f t="shared" si="80"/>
        <v>0</v>
      </c>
      <c r="AS191" s="25">
        <f t="shared" si="81"/>
        <v>0</v>
      </c>
      <c r="AT191" s="25">
        <f t="shared" si="82"/>
        <v>0</v>
      </c>
      <c r="AU191" s="25">
        <f t="shared" si="83"/>
        <v>0</v>
      </c>
      <c r="AV191" s="25">
        <f t="shared" si="84"/>
        <v>0</v>
      </c>
      <c r="AW191" s="25">
        <f t="shared" si="85"/>
        <v>0</v>
      </c>
      <c r="AX191" s="25">
        <f t="shared" si="86"/>
        <v>0</v>
      </c>
      <c r="AY191" s="25">
        <f t="shared" si="87"/>
        <v>0</v>
      </c>
      <c r="AZ191" s="25">
        <f t="shared" si="88"/>
        <v>0</v>
      </c>
      <c r="BA191" s="25">
        <f t="shared" si="89"/>
        <v>0</v>
      </c>
      <c r="BB191" s="25">
        <f t="shared" si="90"/>
        <v>0</v>
      </c>
      <c r="BC191" s="25">
        <f t="shared" si="91"/>
        <v>0</v>
      </c>
      <c r="BD191" s="25">
        <f t="shared" si="92"/>
        <v>0</v>
      </c>
      <c r="BE191" s="25">
        <f t="shared" si="93"/>
        <v>0</v>
      </c>
      <c r="BF191" s="25">
        <f t="shared" si="94"/>
        <v>701.76</v>
      </c>
    </row>
    <row r="192" spans="1:58" s="25" customFormat="1" ht="15" customHeight="1" x14ac:dyDescent="0.25">
      <c r="A192" s="38" t="s">
        <v>268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95"/>
        <v>0</v>
      </c>
      <c r="K192" s="21"/>
      <c r="L192" s="23">
        <v>28</v>
      </c>
      <c r="M192" s="23"/>
      <c r="N192" s="43"/>
      <c r="O192" s="43"/>
      <c r="P192" s="23"/>
      <c r="Q192" s="23"/>
      <c r="R192" s="23"/>
      <c r="S192" s="23"/>
      <c r="T192" s="23"/>
      <c r="U192" s="23"/>
      <c r="V192" s="23"/>
      <c r="W192" s="23"/>
      <c r="X192" s="43"/>
      <c r="Y192" s="23"/>
      <c r="Z192" s="23"/>
      <c r="AA192" s="23"/>
      <c r="AB192" s="24">
        <f t="shared" si="96"/>
        <v>28</v>
      </c>
      <c r="AC192" s="24">
        <f t="shared" si="66"/>
        <v>-28</v>
      </c>
      <c r="AD192" s="25">
        <v>9.4600000000000009</v>
      </c>
      <c r="AE192" s="25">
        <f t="shared" si="67"/>
        <v>0</v>
      </c>
      <c r="AF192" s="25">
        <f t="shared" si="68"/>
        <v>2270.4</v>
      </c>
      <c r="AG192" s="25">
        <f t="shared" si="69"/>
        <v>0</v>
      </c>
      <c r="AH192" s="25">
        <f t="shared" si="70"/>
        <v>0</v>
      </c>
      <c r="AI192" s="25">
        <f t="shared" si="71"/>
        <v>0</v>
      </c>
      <c r="AJ192" s="25">
        <f t="shared" si="72"/>
        <v>0</v>
      </c>
      <c r="AK192" s="25">
        <f t="shared" si="73"/>
        <v>0</v>
      </c>
      <c r="AL192" s="25">
        <f t="shared" si="74"/>
        <v>0</v>
      </c>
      <c r="AM192" s="25">
        <f t="shared" si="75"/>
        <v>0</v>
      </c>
      <c r="AN192" s="25">
        <f t="shared" si="76"/>
        <v>0</v>
      </c>
      <c r="AO192" s="25">
        <f t="shared" si="77"/>
        <v>264.88</v>
      </c>
      <c r="AP192" s="25">
        <f t="shared" si="78"/>
        <v>0</v>
      </c>
      <c r="AQ192" s="25">
        <f t="shared" si="79"/>
        <v>0</v>
      </c>
      <c r="AR192" s="25">
        <f t="shared" si="80"/>
        <v>0</v>
      </c>
      <c r="AS192" s="25">
        <f t="shared" si="81"/>
        <v>0</v>
      </c>
      <c r="AT192" s="25">
        <f t="shared" si="82"/>
        <v>0</v>
      </c>
      <c r="AU192" s="25">
        <f t="shared" si="83"/>
        <v>0</v>
      </c>
      <c r="AV192" s="25">
        <f t="shared" si="84"/>
        <v>0</v>
      </c>
      <c r="AW192" s="25">
        <f t="shared" si="85"/>
        <v>0</v>
      </c>
      <c r="AX192" s="25">
        <f t="shared" si="86"/>
        <v>0</v>
      </c>
      <c r="AY192" s="25">
        <f t="shared" si="87"/>
        <v>0</v>
      </c>
      <c r="AZ192" s="25">
        <f t="shared" si="88"/>
        <v>0</v>
      </c>
      <c r="BA192" s="25">
        <f t="shared" si="89"/>
        <v>0</v>
      </c>
      <c r="BB192" s="25">
        <f t="shared" si="90"/>
        <v>0</v>
      </c>
      <c r="BC192" s="25">
        <f t="shared" si="91"/>
        <v>0</v>
      </c>
      <c r="BD192" s="25">
        <f t="shared" si="92"/>
        <v>0</v>
      </c>
      <c r="BE192" s="25">
        <f t="shared" si="93"/>
        <v>264.88</v>
      </c>
      <c r="BF192" s="25">
        <f t="shared" si="94"/>
        <v>-264.88</v>
      </c>
    </row>
    <row r="193" spans="1:58" s="25" customFormat="1" ht="15" customHeight="1" x14ac:dyDescent="0.25">
      <c r="A193" s="38" t="s">
        <v>269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95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43"/>
      <c r="Y193" s="23"/>
      <c r="Z193" s="23"/>
      <c r="AA193" s="23"/>
      <c r="AB193" s="24">
        <f t="shared" si="96"/>
        <v>0</v>
      </c>
      <c r="AC193" s="24">
        <f t="shared" si="66"/>
        <v>0</v>
      </c>
      <c r="AD193" s="25">
        <v>10.32</v>
      </c>
      <c r="AE193" s="25">
        <f t="shared" si="67"/>
        <v>0</v>
      </c>
      <c r="AF193" s="25">
        <f t="shared" si="68"/>
        <v>0</v>
      </c>
      <c r="AG193" s="25">
        <f t="shared" si="69"/>
        <v>0</v>
      </c>
      <c r="AH193" s="25">
        <f t="shared" si="70"/>
        <v>0</v>
      </c>
      <c r="AI193" s="25">
        <f t="shared" si="71"/>
        <v>0</v>
      </c>
      <c r="AJ193" s="25">
        <f t="shared" si="72"/>
        <v>0</v>
      </c>
      <c r="AK193" s="25">
        <f t="shared" si="73"/>
        <v>0</v>
      </c>
      <c r="AL193" s="25">
        <f t="shared" si="74"/>
        <v>0</v>
      </c>
      <c r="AM193" s="25">
        <f t="shared" si="75"/>
        <v>0</v>
      </c>
      <c r="AN193" s="25">
        <f t="shared" si="76"/>
        <v>0</v>
      </c>
      <c r="AO193" s="25">
        <f t="shared" si="77"/>
        <v>0</v>
      </c>
      <c r="AP193" s="25">
        <f t="shared" si="78"/>
        <v>0</v>
      </c>
      <c r="AQ193" s="25">
        <f t="shared" si="79"/>
        <v>0</v>
      </c>
      <c r="AR193" s="25">
        <f t="shared" si="80"/>
        <v>0</v>
      </c>
      <c r="AS193" s="25">
        <f t="shared" si="81"/>
        <v>0</v>
      </c>
      <c r="AT193" s="25">
        <f t="shared" si="82"/>
        <v>0</v>
      </c>
      <c r="AU193" s="25">
        <f t="shared" si="83"/>
        <v>0</v>
      </c>
      <c r="AV193" s="25">
        <f t="shared" si="84"/>
        <v>0</v>
      </c>
      <c r="AW193" s="25">
        <f t="shared" si="85"/>
        <v>0</v>
      </c>
      <c r="AX193" s="25">
        <f t="shared" si="86"/>
        <v>0</v>
      </c>
      <c r="AY193" s="25">
        <f t="shared" si="87"/>
        <v>0</v>
      </c>
      <c r="AZ193" s="25">
        <f t="shared" si="88"/>
        <v>0</v>
      </c>
      <c r="BA193" s="25">
        <f t="shared" si="89"/>
        <v>0</v>
      </c>
      <c r="BB193" s="25">
        <f t="shared" si="90"/>
        <v>0</v>
      </c>
      <c r="BC193" s="25">
        <f t="shared" si="91"/>
        <v>0</v>
      </c>
      <c r="BD193" s="25">
        <f t="shared" si="92"/>
        <v>0</v>
      </c>
      <c r="BE193" s="25">
        <f t="shared" si="93"/>
        <v>0</v>
      </c>
      <c r="BF193" s="25">
        <f t="shared" si="94"/>
        <v>0</v>
      </c>
    </row>
    <row r="194" spans="1:58" s="25" customFormat="1" ht="15" customHeight="1" x14ac:dyDescent="0.25">
      <c r="A194" s="38" t="s">
        <v>270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95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/>
      <c r="S194" s="23"/>
      <c r="T194" s="23"/>
      <c r="U194" s="23"/>
      <c r="V194" s="23"/>
      <c r="W194" s="23"/>
      <c r="X194" s="43"/>
      <c r="Y194" s="23"/>
      <c r="Z194" s="23"/>
      <c r="AA194" s="23"/>
      <c r="AB194" s="24">
        <f t="shared" si="96"/>
        <v>272</v>
      </c>
      <c r="AC194" s="24">
        <f t="shared" si="66"/>
        <v>-272</v>
      </c>
      <c r="AD194" s="25">
        <v>10.75</v>
      </c>
      <c r="AE194" s="25">
        <f t="shared" si="67"/>
        <v>0</v>
      </c>
      <c r="AF194" s="25">
        <f t="shared" si="68"/>
        <v>0</v>
      </c>
      <c r="AG194" s="25">
        <f t="shared" si="69"/>
        <v>0</v>
      </c>
      <c r="AH194" s="25">
        <f t="shared" si="70"/>
        <v>0</v>
      </c>
      <c r="AI194" s="25">
        <f t="shared" si="71"/>
        <v>0</v>
      </c>
      <c r="AJ194" s="25">
        <f t="shared" si="72"/>
        <v>0</v>
      </c>
      <c r="AK194" s="25">
        <f t="shared" si="73"/>
        <v>0</v>
      </c>
      <c r="AL194" s="25">
        <f t="shared" si="74"/>
        <v>0</v>
      </c>
      <c r="AM194" s="25">
        <f t="shared" si="75"/>
        <v>0</v>
      </c>
      <c r="AN194" s="25">
        <f t="shared" si="76"/>
        <v>0</v>
      </c>
      <c r="AO194" s="25">
        <f t="shared" si="77"/>
        <v>2408</v>
      </c>
      <c r="AP194" s="25">
        <f t="shared" si="78"/>
        <v>0</v>
      </c>
      <c r="AQ194" s="25">
        <f t="shared" si="79"/>
        <v>0</v>
      </c>
      <c r="AR194" s="25">
        <f t="shared" si="80"/>
        <v>0</v>
      </c>
      <c r="AS194" s="25">
        <f t="shared" si="81"/>
        <v>0</v>
      </c>
      <c r="AT194" s="25">
        <f t="shared" si="82"/>
        <v>516</v>
      </c>
      <c r="AU194" s="25">
        <f t="shared" si="83"/>
        <v>0</v>
      </c>
      <c r="AV194" s="25">
        <f t="shared" si="84"/>
        <v>0</v>
      </c>
      <c r="AW194" s="25">
        <f t="shared" si="85"/>
        <v>0</v>
      </c>
      <c r="AX194" s="25">
        <f t="shared" si="86"/>
        <v>0</v>
      </c>
      <c r="AY194" s="25">
        <f t="shared" si="87"/>
        <v>0</v>
      </c>
      <c r="AZ194" s="25">
        <f t="shared" si="88"/>
        <v>0</v>
      </c>
      <c r="BA194" s="25">
        <f t="shared" si="89"/>
        <v>0</v>
      </c>
      <c r="BB194" s="25">
        <f t="shared" si="90"/>
        <v>0</v>
      </c>
      <c r="BC194" s="25">
        <f t="shared" si="91"/>
        <v>0</v>
      </c>
      <c r="BD194" s="25">
        <f t="shared" si="92"/>
        <v>0</v>
      </c>
      <c r="BE194" s="25">
        <f t="shared" si="93"/>
        <v>2924</v>
      </c>
      <c r="BF194" s="25">
        <f t="shared" si="94"/>
        <v>-2924</v>
      </c>
    </row>
    <row r="195" spans="1:58" s="25" customFormat="1" ht="15" customHeight="1" x14ac:dyDescent="0.25">
      <c r="A195" s="38" t="s">
        <v>271</v>
      </c>
      <c r="B195" s="38">
        <v>34</v>
      </c>
      <c r="C195" s="27"/>
      <c r="D195" s="27"/>
      <c r="E195" s="20">
        <v>11</v>
      </c>
      <c r="F195" s="20">
        <v>32</v>
      </c>
      <c r="G195" s="20"/>
      <c r="H195" s="20"/>
      <c r="I195" s="20">
        <v>4</v>
      </c>
      <c r="J195" s="20">
        <f t="shared" si="95"/>
        <v>45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43"/>
      <c r="Y195" s="23"/>
      <c r="Z195" s="23"/>
      <c r="AA195" s="23">
        <v>5</v>
      </c>
      <c r="AB195" s="24">
        <f t="shared" si="96"/>
        <v>0</v>
      </c>
      <c r="AC195" s="24">
        <f t="shared" si="66"/>
        <v>45</v>
      </c>
      <c r="AD195" s="25">
        <v>8.06</v>
      </c>
      <c r="AE195" s="25">
        <f t="shared" si="67"/>
        <v>274.04000000000002</v>
      </c>
      <c r="AF195" s="25">
        <f t="shared" si="68"/>
        <v>0</v>
      </c>
      <c r="AG195" s="25">
        <f t="shared" si="69"/>
        <v>0</v>
      </c>
      <c r="AH195" s="25">
        <f t="shared" si="70"/>
        <v>88.660000000000011</v>
      </c>
      <c r="AI195" s="25">
        <f t="shared" si="71"/>
        <v>257.92</v>
      </c>
      <c r="AJ195" s="25">
        <f t="shared" si="72"/>
        <v>0</v>
      </c>
      <c r="AK195" s="25">
        <f t="shared" si="73"/>
        <v>0</v>
      </c>
      <c r="AL195" s="25">
        <f t="shared" si="74"/>
        <v>32.24</v>
      </c>
      <c r="AM195" s="25">
        <f t="shared" si="75"/>
        <v>362.70000000000005</v>
      </c>
      <c r="AN195" s="25">
        <f t="shared" si="76"/>
        <v>0</v>
      </c>
      <c r="AO195" s="25">
        <f t="shared" si="77"/>
        <v>0</v>
      </c>
      <c r="AP195" s="25">
        <f t="shared" si="78"/>
        <v>0</v>
      </c>
      <c r="AQ195" s="25">
        <f t="shared" si="79"/>
        <v>0</v>
      </c>
      <c r="AR195" s="25">
        <f t="shared" si="80"/>
        <v>0</v>
      </c>
      <c r="AS195" s="25">
        <f t="shared" si="81"/>
        <v>0</v>
      </c>
      <c r="AT195" s="25">
        <f t="shared" si="82"/>
        <v>0</v>
      </c>
      <c r="AU195" s="25">
        <f t="shared" si="83"/>
        <v>0</v>
      </c>
      <c r="AV195" s="25">
        <f t="shared" si="84"/>
        <v>0</v>
      </c>
      <c r="AW195" s="25">
        <f t="shared" si="85"/>
        <v>0</v>
      </c>
      <c r="AX195" s="25">
        <f t="shared" si="86"/>
        <v>0</v>
      </c>
      <c r="AY195" s="25">
        <f t="shared" si="87"/>
        <v>0</v>
      </c>
      <c r="AZ195" s="25">
        <f t="shared" si="88"/>
        <v>0</v>
      </c>
      <c r="BA195" s="25">
        <f t="shared" si="89"/>
        <v>0</v>
      </c>
      <c r="BB195" s="25">
        <f t="shared" si="90"/>
        <v>0</v>
      </c>
      <c r="BC195" s="25">
        <f t="shared" si="91"/>
        <v>0</v>
      </c>
      <c r="BD195" s="25">
        <f t="shared" si="92"/>
        <v>40.300000000000004</v>
      </c>
      <c r="BE195" s="25">
        <f t="shared" si="93"/>
        <v>0</v>
      </c>
      <c r="BF195" s="25">
        <f t="shared" si="94"/>
        <v>362.70000000000005</v>
      </c>
    </row>
    <row r="196" spans="1:58" s="25" customFormat="1" ht="15" customHeight="1" x14ac:dyDescent="0.25">
      <c r="A196" s="38" t="s">
        <v>272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95"/>
        <v>23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>
        <v>1</v>
      </c>
      <c r="X196" s="43"/>
      <c r="Y196" s="23">
        <v>9</v>
      </c>
      <c r="Z196" s="23"/>
      <c r="AA196" s="23"/>
      <c r="AB196" s="24">
        <f t="shared" si="96"/>
        <v>2</v>
      </c>
      <c r="AC196" s="24">
        <f t="shared" si="66"/>
        <v>21</v>
      </c>
      <c r="AD196" s="25">
        <v>8.06</v>
      </c>
      <c r="AE196" s="25">
        <f t="shared" si="67"/>
        <v>185.38000000000002</v>
      </c>
      <c r="AF196" s="25">
        <f t="shared" si="68"/>
        <v>0</v>
      </c>
      <c r="AG196" s="25">
        <f t="shared" si="69"/>
        <v>0</v>
      </c>
      <c r="AH196" s="25">
        <f t="shared" si="70"/>
        <v>0</v>
      </c>
      <c r="AI196" s="25">
        <f t="shared" si="71"/>
        <v>64.48</v>
      </c>
      <c r="AJ196" s="25">
        <f t="shared" si="72"/>
        <v>0</v>
      </c>
      <c r="AK196" s="25">
        <f t="shared" si="73"/>
        <v>0</v>
      </c>
      <c r="AL196" s="25">
        <f t="shared" si="74"/>
        <v>48.36</v>
      </c>
      <c r="AM196" s="25">
        <f t="shared" si="75"/>
        <v>185.38000000000002</v>
      </c>
      <c r="AN196" s="25">
        <f t="shared" si="76"/>
        <v>0</v>
      </c>
      <c r="AO196" s="25">
        <f t="shared" si="77"/>
        <v>0</v>
      </c>
      <c r="AP196" s="25">
        <f t="shared" si="78"/>
        <v>0</v>
      </c>
      <c r="AQ196" s="25">
        <f t="shared" si="79"/>
        <v>0</v>
      </c>
      <c r="AR196" s="25">
        <f t="shared" si="80"/>
        <v>0</v>
      </c>
      <c r="AS196" s="25">
        <f t="shared" si="81"/>
        <v>16.12</v>
      </c>
      <c r="AT196" s="25">
        <f t="shared" si="82"/>
        <v>0</v>
      </c>
      <c r="AU196" s="25">
        <f t="shared" si="83"/>
        <v>0</v>
      </c>
      <c r="AV196" s="25">
        <f t="shared" si="84"/>
        <v>0</v>
      </c>
      <c r="AW196" s="25">
        <f t="shared" si="85"/>
        <v>0</v>
      </c>
      <c r="AX196" s="25">
        <f t="shared" si="86"/>
        <v>0</v>
      </c>
      <c r="AY196" s="25">
        <f t="shared" si="87"/>
        <v>0</v>
      </c>
      <c r="AZ196" s="25">
        <f t="shared" si="88"/>
        <v>8.06</v>
      </c>
      <c r="BA196" s="25">
        <f t="shared" si="89"/>
        <v>0</v>
      </c>
      <c r="BB196" s="25">
        <f t="shared" si="90"/>
        <v>72.540000000000006</v>
      </c>
      <c r="BC196" s="25">
        <f t="shared" si="91"/>
        <v>0</v>
      </c>
      <c r="BD196" s="25">
        <f t="shared" si="92"/>
        <v>0</v>
      </c>
      <c r="BE196" s="25">
        <f t="shared" si="93"/>
        <v>16.12</v>
      </c>
      <c r="BF196" s="25">
        <f t="shared" si="94"/>
        <v>169.26000000000002</v>
      </c>
    </row>
    <row r="197" spans="1:58" s="25" customFormat="1" ht="15" customHeight="1" x14ac:dyDescent="0.25">
      <c r="A197" s="38" t="s">
        <v>273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95"/>
        <v>0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43"/>
      <c r="Y197" s="23"/>
      <c r="Z197" s="23"/>
      <c r="AA197" s="23"/>
      <c r="AB197" s="24">
        <f t="shared" si="96"/>
        <v>0</v>
      </c>
      <c r="AC197" s="24">
        <f t="shared" si="66"/>
        <v>0</v>
      </c>
      <c r="AD197" s="25">
        <v>0.9</v>
      </c>
      <c r="AE197" s="25">
        <f t="shared" si="67"/>
        <v>0</v>
      </c>
      <c r="AF197" s="25">
        <f t="shared" si="68"/>
        <v>0</v>
      </c>
      <c r="AG197" s="25">
        <f t="shared" si="69"/>
        <v>0</v>
      </c>
      <c r="AH197" s="25">
        <f t="shared" si="70"/>
        <v>0</v>
      </c>
      <c r="AI197" s="25">
        <f t="shared" si="71"/>
        <v>3.6</v>
      </c>
      <c r="AJ197" s="25">
        <f t="shared" si="72"/>
        <v>0</v>
      </c>
      <c r="AK197" s="25">
        <f t="shared" si="73"/>
        <v>0</v>
      </c>
      <c r="AL197" s="25">
        <f t="shared" si="74"/>
        <v>0</v>
      </c>
      <c r="AM197" s="25">
        <f t="shared" si="75"/>
        <v>0</v>
      </c>
      <c r="AN197" s="25">
        <f t="shared" si="76"/>
        <v>0</v>
      </c>
      <c r="AO197" s="25">
        <f t="shared" si="77"/>
        <v>0</v>
      </c>
      <c r="AP197" s="25">
        <f t="shared" si="78"/>
        <v>0</v>
      </c>
      <c r="AQ197" s="25">
        <f t="shared" si="79"/>
        <v>0</v>
      </c>
      <c r="AR197" s="25">
        <f t="shared" si="80"/>
        <v>0</v>
      </c>
      <c r="AS197" s="25">
        <f t="shared" si="81"/>
        <v>0</v>
      </c>
      <c r="AT197" s="25">
        <f t="shared" si="82"/>
        <v>0</v>
      </c>
      <c r="AU197" s="25">
        <f t="shared" si="83"/>
        <v>0</v>
      </c>
      <c r="AV197" s="25">
        <f t="shared" si="84"/>
        <v>0</v>
      </c>
      <c r="AW197" s="25">
        <f t="shared" si="85"/>
        <v>0</v>
      </c>
      <c r="AX197" s="25">
        <f t="shared" si="86"/>
        <v>0</v>
      </c>
      <c r="AY197" s="25">
        <f t="shared" si="87"/>
        <v>0</v>
      </c>
      <c r="AZ197" s="25">
        <f t="shared" si="88"/>
        <v>0</v>
      </c>
      <c r="BA197" s="25">
        <f t="shared" si="89"/>
        <v>0</v>
      </c>
      <c r="BB197" s="25">
        <f t="shared" si="90"/>
        <v>0</v>
      </c>
      <c r="BC197" s="25">
        <f t="shared" si="91"/>
        <v>0</v>
      </c>
      <c r="BD197" s="25">
        <f t="shared" si="92"/>
        <v>0</v>
      </c>
      <c r="BE197" s="25">
        <f t="shared" si="93"/>
        <v>0</v>
      </c>
      <c r="BF197" s="25">
        <f t="shared" si="94"/>
        <v>0</v>
      </c>
    </row>
    <row r="198" spans="1:58" s="25" customFormat="1" ht="15" customHeight="1" x14ac:dyDescent="0.25">
      <c r="A198" s="38" t="s">
        <v>274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si="95"/>
        <v>0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43"/>
      <c r="Y198" s="23"/>
      <c r="Z198" s="23"/>
      <c r="AA198" s="23"/>
      <c r="AB198" s="24">
        <f t="shared" si="96"/>
        <v>0</v>
      </c>
      <c r="AC198" s="24">
        <f t="shared" ref="AC198:AC249" si="97">J198-AB198</f>
        <v>0</v>
      </c>
      <c r="AD198" s="25">
        <v>1.8</v>
      </c>
      <c r="AE198" s="25">
        <f t="shared" ref="AE198:AE249" si="98">B198*$AD198</f>
        <v>0</v>
      </c>
      <c r="AF198" s="25">
        <f t="shared" ref="AF198:AF249" si="99">C198*$AD198</f>
        <v>0</v>
      </c>
      <c r="AG198" s="25">
        <f t="shared" ref="AG198:AG249" si="100">D198*$AD198</f>
        <v>0</v>
      </c>
      <c r="AH198" s="25">
        <f t="shared" ref="AH198:AH249" si="101">E198*$AD198</f>
        <v>0</v>
      </c>
      <c r="AI198" s="25">
        <f t="shared" ref="AI198:AI249" si="102">F198*$AD198</f>
        <v>7.2</v>
      </c>
      <c r="AJ198" s="25">
        <f t="shared" ref="AJ198:AJ249" si="103">G198*$AD198</f>
        <v>0</v>
      </c>
      <c r="AK198" s="25">
        <f t="shared" ref="AK198:AK249" si="104">H198*$AD198</f>
        <v>0</v>
      </c>
      <c r="AL198" s="25">
        <f t="shared" ref="AL198:AL249" si="105">I198*$AD198</f>
        <v>0</v>
      </c>
      <c r="AM198" s="25">
        <f t="shared" ref="AM198:AM249" si="106">J198*$AD198</f>
        <v>0</v>
      </c>
      <c r="AN198" s="25">
        <f t="shared" ref="AN198:AN249" si="107">K198*$AD198</f>
        <v>0</v>
      </c>
      <c r="AO198" s="25">
        <f t="shared" ref="AO198:AO249" si="108">L198*$AD198</f>
        <v>0</v>
      </c>
      <c r="AP198" s="25">
        <f t="shared" ref="AP198:AP249" si="109">M198*$AD198</f>
        <v>0</v>
      </c>
      <c r="AQ198" s="25">
        <f t="shared" ref="AQ198:AQ249" si="110">N198*$AD198</f>
        <v>0</v>
      </c>
      <c r="AR198" s="25">
        <f t="shared" ref="AR198:AR249" si="111">O198*$AD198</f>
        <v>0</v>
      </c>
      <c r="AS198" s="25">
        <f t="shared" ref="AS198:AS249" si="112">P198*$AD198</f>
        <v>0</v>
      </c>
      <c r="AT198" s="25">
        <f t="shared" ref="AT198:AT249" si="113">Q198*$AD198</f>
        <v>0</v>
      </c>
      <c r="AU198" s="25">
        <f t="shared" ref="AU198:AU249" si="114">R198*$AD198</f>
        <v>0</v>
      </c>
      <c r="AV198" s="25">
        <f t="shared" ref="AV198:AV249" si="115">S198*$AD198</f>
        <v>0</v>
      </c>
      <c r="AW198" s="25">
        <f t="shared" ref="AW198:AW249" si="116">T198*$AD198</f>
        <v>0</v>
      </c>
      <c r="AX198" s="25">
        <f t="shared" ref="AX198:AX249" si="117">U198*$AD198</f>
        <v>0</v>
      </c>
      <c r="AY198" s="25">
        <f t="shared" ref="AY198:AY249" si="118">V198*$AD198</f>
        <v>0</v>
      </c>
      <c r="AZ198" s="25">
        <f t="shared" ref="AZ198:AZ249" si="119">W198*$AD198</f>
        <v>0</v>
      </c>
      <c r="BA198" s="25">
        <f t="shared" ref="BA198:BA249" si="120">X198*$AD198</f>
        <v>0</v>
      </c>
      <c r="BB198" s="25">
        <f t="shared" ref="BB198:BB249" si="121">Y198*$AD198</f>
        <v>0</v>
      </c>
      <c r="BC198" s="25">
        <f t="shared" ref="BC198:BC249" si="122">Z198*$AD198</f>
        <v>0</v>
      </c>
      <c r="BD198" s="25">
        <f t="shared" ref="BD198:BD249" si="123">AA198*$AD198</f>
        <v>0</v>
      </c>
      <c r="BE198" s="25">
        <f t="shared" ref="BE198:BE249" si="124">AB198*$AD198</f>
        <v>0</v>
      </c>
      <c r="BF198" s="25">
        <f t="shared" ref="BF198:BF249" si="125">AC198*$AD198</f>
        <v>0</v>
      </c>
    </row>
    <row r="199" spans="1:58" s="25" customFormat="1" ht="15" customHeight="1" x14ac:dyDescent="0.25">
      <c r="A199" s="38" t="s">
        <v>275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5"/>
        <v>0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43"/>
      <c r="Y199" s="23"/>
      <c r="Z199" s="23"/>
      <c r="AA199" s="23"/>
      <c r="AB199" s="24">
        <f t="shared" si="96"/>
        <v>0</v>
      </c>
      <c r="AC199" s="24">
        <f t="shared" si="97"/>
        <v>0</v>
      </c>
      <c r="AD199" s="25">
        <v>2.7</v>
      </c>
      <c r="AE199" s="25">
        <f t="shared" si="98"/>
        <v>0</v>
      </c>
      <c r="AF199" s="25">
        <f t="shared" si="99"/>
        <v>0</v>
      </c>
      <c r="AG199" s="25">
        <f t="shared" si="100"/>
        <v>0</v>
      </c>
      <c r="AH199" s="25">
        <f t="shared" si="101"/>
        <v>0</v>
      </c>
      <c r="AI199" s="25">
        <f t="shared" si="102"/>
        <v>10.8</v>
      </c>
      <c r="AJ199" s="25">
        <f t="shared" si="103"/>
        <v>0</v>
      </c>
      <c r="AK199" s="25">
        <f t="shared" si="104"/>
        <v>0</v>
      </c>
      <c r="AL199" s="25">
        <f t="shared" si="105"/>
        <v>0</v>
      </c>
      <c r="AM199" s="25">
        <f t="shared" si="106"/>
        <v>0</v>
      </c>
      <c r="AN199" s="25">
        <f t="shared" si="107"/>
        <v>0</v>
      </c>
      <c r="AO199" s="25">
        <f t="shared" si="108"/>
        <v>0</v>
      </c>
      <c r="AP199" s="25">
        <f t="shared" si="109"/>
        <v>0</v>
      </c>
      <c r="AQ199" s="25">
        <f t="shared" si="110"/>
        <v>0</v>
      </c>
      <c r="AR199" s="25">
        <f t="shared" si="111"/>
        <v>0</v>
      </c>
      <c r="AS199" s="25">
        <f t="shared" si="112"/>
        <v>0</v>
      </c>
      <c r="AT199" s="25">
        <f t="shared" si="113"/>
        <v>0</v>
      </c>
      <c r="AU199" s="25">
        <f t="shared" si="114"/>
        <v>0</v>
      </c>
      <c r="AV199" s="25">
        <f t="shared" si="115"/>
        <v>0</v>
      </c>
      <c r="AW199" s="25">
        <f t="shared" si="116"/>
        <v>0</v>
      </c>
      <c r="AX199" s="25">
        <f t="shared" si="117"/>
        <v>0</v>
      </c>
      <c r="AY199" s="25">
        <f t="shared" si="118"/>
        <v>0</v>
      </c>
      <c r="AZ199" s="25">
        <f t="shared" si="119"/>
        <v>0</v>
      </c>
      <c r="BA199" s="25">
        <f t="shared" si="120"/>
        <v>0</v>
      </c>
      <c r="BB199" s="25">
        <f t="shared" si="121"/>
        <v>0</v>
      </c>
      <c r="BC199" s="25">
        <f t="shared" si="122"/>
        <v>0</v>
      </c>
      <c r="BD199" s="25">
        <f t="shared" si="123"/>
        <v>0</v>
      </c>
      <c r="BE199" s="25">
        <f t="shared" si="124"/>
        <v>0</v>
      </c>
      <c r="BF199" s="25">
        <f t="shared" si="125"/>
        <v>0</v>
      </c>
    </row>
    <row r="200" spans="1:58" s="25" customFormat="1" ht="15" customHeight="1" x14ac:dyDescent="0.25">
      <c r="A200" s="38" t="s">
        <v>276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5"/>
        <v>0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43"/>
      <c r="Y200" s="23"/>
      <c r="Z200" s="23"/>
      <c r="AA200" s="23"/>
      <c r="AB200" s="24">
        <f t="shared" si="96"/>
        <v>0</v>
      </c>
      <c r="AC200" s="24">
        <f t="shared" si="97"/>
        <v>0</v>
      </c>
      <c r="AD200" s="25">
        <v>10.8</v>
      </c>
      <c r="AE200" s="25">
        <f t="shared" si="98"/>
        <v>0</v>
      </c>
      <c r="AF200" s="25">
        <f t="shared" si="99"/>
        <v>0</v>
      </c>
      <c r="AG200" s="25">
        <f t="shared" si="100"/>
        <v>0</v>
      </c>
      <c r="AH200" s="25">
        <f t="shared" si="101"/>
        <v>0</v>
      </c>
      <c r="AI200" s="25">
        <f t="shared" si="102"/>
        <v>21.6</v>
      </c>
      <c r="AJ200" s="25">
        <f t="shared" si="103"/>
        <v>0</v>
      </c>
      <c r="AK200" s="25">
        <f t="shared" si="104"/>
        <v>0</v>
      </c>
      <c r="AL200" s="25">
        <f t="shared" si="105"/>
        <v>0</v>
      </c>
      <c r="AM200" s="25">
        <f t="shared" si="106"/>
        <v>0</v>
      </c>
      <c r="AN200" s="25">
        <f t="shared" si="107"/>
        <v>0</v>
      </c>
      <c r="AO200" s="25">
        <f t="shared" si="108"/>
        <v>0</v>
      </c>
      <c r="AP200" s="25">
        <f t="shared" si="109"/>
        <v>0</v>
      </c>
      <c r="AQ200" s="25">
        <f t="shared" si="110"/>
        <v>0</v>
      </c>
      <c r="AR200" s="25">
        <f t="shared" si="111"/>
        <v>0</v>
      </c>
      <c r="AS200" s="25">
        <f t="shared" si="112"/>
        <v>0</v>
      </c>
      <c r="AT200" s="25">
        <f t="shared" si="113"/>
        <v>0</v>
      </c>
      <c r="AU200" s="25">
        <f t="shared" si="114"/>
        <v>0</v>
      </c>
      <c r="AV200" s="25">
        <f t="shared" si="115"/>
        <v>0</v>
      </c>
      <c r="AW200" s="25">
        <f t="shared" si="116"/>
        <v>0</v>
      </c>
      <c r="AX200" s="25">
        <f t="shared" si="117"/>
        <v>0</v>
      </c>
      <c r="AY200" s="25">
        <f t="shared" si="118"/>
        <v>0</v>
      </c>
      <c r="AZ200" s="25">
        <f t="shared" si="119"/>
        <v>0</v>
      </c>
      <c r="BA200" s="25">
        <f t="shared" si="120"/>
        <v>0</v>
      </c>
      <c r="BB200" s="25">
        <f t="shared" si="121"/>
        <v>0</v>
      </c>
      <c r="BC200" s="25">
        <f t="shared" si="122"/>
        <v>0</v>
      </c>
      <c r="BD200" s="25">
        <f t="shared" si="123"/>
        <v>0</v>
      </c>
      <c r="BE200" s="25">
        <f t="shared" si="124"/>
        <v>0</v>
      </c>
      <c r="BF200" s="25">
        <f t="shared" si="125"/>
        <v>0</v>
      </c>
    </row>
    <row r="201" spans="1:58" s="25" customFormat="1" ht="15" customHeight="1" x14ac:dyDescent="0.25">
      <c r="A201" s="38" t="s">
        <v>277</v>
      </c>
      <c r="B201" s="38">
        <v>19</v>
      </c>
      <c r="C201" s="27"/>
      <c r="D201" s="27"/>
      <c r="E201" s="20">
        <v>140</v>
      </c>
      <c r="F201" s="20">
        <v>6</v>
      </c>
      <c r="G201" s="20"/>
      <c r="H201" s="20"/>
      <c r="I201" s="20"/>
      <c r="J201" s="20">
        <f t="shared" si="95"/>
        <v>159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43"/>
      <c r="Y201" s="23"/>
      <c r="Z201" s="23"/>
      <c r="AA201" s="23"/>
      <c r="AB201" s="24">
        <f t="shared" si="96"/>
        <v>18</v>
      </c>
      <c r="AC201" s="24">
        <f t="shared" si="97"/>
        <v>141</v>
      </c>
      <c r="AD201" s="25">
        <v>0.9</v>
      </c>
      <c r="AE201" s="25">
        <f t="shared" si="98"/>
        <v>17.100000000000001</v>
      </c>
      <c r="AF201" s="25">
        <f t="shared" si="99"/>
        <v>0</v>
      </c>
      <c r="AG201" s="25">
        <f t="shared" si="100"/>
        <v>0</v>
      </c>
      <c r="AH201" s="25">
        <f t="shared" si="101"/>
        <v>126</v>
      </c>
      <c r="AI201" s="25">
        <f t="shared" si="102"/>
        <v>5.4</v>
      </c>
      <c r="AJ201" s="25">
        <f t="shared" si="103"/>
        <v>0</v>
      </c>
      <c r="AK201" s="25">
        <f t="shared" si="104"/>
        <v>0</v>
      </c>
      <c r="AL201" s="25">
        <f t="shared" si="105"/>
        <v>0</v>
      </c>
      <c r="AM201" s="25">
        <f t="shared" si="106"/>
        <v>143.1</v>
      </c>
      <c r="AN201" s="25">
        <f t="shared" si="107"/>
        <v>0</v>
      </c>
      <c r="AO201" s="25">
        <f t="shared" si="108"/>
        <v>0</v>
      </c>
      <c r="AP201" s="25">
        <f t="shared" si="109"/>
        <v>0</v>
      </c>
      <c r="AQ201" s="25">
        <f t="shared" si="110"/>
        <v>0</v>
      </c>
      <c r="AR201" s="25">
        <f t="shared" si="111"/>
        <v>0</v>
      </c>
      <c r="AS201" s="25">
        <f t="shared" si="112"/>
        <v>0</v>
      </c>
      <c r="AT201" s="25">
        <f t="shared" si="113"/>
        <v>16.2</v>
      </c>
      <c r="AU201" s="25">
        <f t="shared" si="114"/>
        <v>0</v>
      </c>
      <c r="AV201" s="25">
        <f t="shared" si="115"/>
        <v>0</v>
      </c>
      <c r="AW201" s="25">
        <f t="shared" si="116"/>
        <v>0</v>
      </c>
      <c r="AX201" s="25">
        <f t="shared" si="117"/>
        <v>0</v>
      </c>
      <c r="AY201" s="25">
        <f t="shared" si="118"/>
        <v>0</v>
      </c>
      <c r="AZ201" s="25">
        <f t="shared" si="119"/>
        <v>0</v>
      </c>
      <c r="BA201" s="25">
        <f t="shared" si="120"/>
        <v>0</v>
      </c>
      <c r="BB201" s="25">
        <f t="shared" si="121"/>
        <v>0</v>
      </c>
      <c r="BC201" s="25">
        <f t="shared" si="122"/>
        <v>0</v>
      </c>
      <c r="BD201" s="25">
        <f t="shared" si="123"/>
        <v>0</v>
      </c>
      <c r="BE201" s="25">
        <f t="shared" si="124"/>
        <v>16.2</v>
      </c>
      <c r="BF201" s="25">
        <f t="shared" si="125"/>
        <v>126.9</v>
      </c>
    </row>
    <row r="202" spans="1:58" s="25" customFormat="1" ht="15" customHeight="1" x14ac:dyDescent="0.25">
      <c r="A202" s="38" t="s">
        <v>278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5"/>
        <v>12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43"/>
      <c r="Y202" s="23"/>
      <c r="Z202" s="23"/>
      <c r="AA202" s="23"/>
      <c r="AB202" s="24">
        <f t="shared" si="96"/>
        <v>0</v>
      </c>
      <c r="AC202" s="24">
        <f t="shared" si="97"/>
        <v>12</v>
      </c>
      <c r="AD202" s="25">
        <v>1.8</v>
      </c>
      <c r="AE202" s="25">
        <f t="shared" si="98"/>
        <v>21.6</v>
      </c>
      <c r="AF202" s="25">
        <f t="shared" si="99"/>
        <v>0</v>
      </c>
      <c r="AG202" s="25">
        <f t="shared" si="100"/>
        <v>0</v>
      </c>
      <c r="AH202" s="25">
        <f t="shared" si="101"/>
        <v>0</v>
      </c>
      <c r="AI202" s="25">
        <f t="shared" si="102"/>
        <v>1.8</v>
      </c>
      <c r="AJ202" s="25">
        <f t="shared" si="103"/>
        <v>0</v>
      </c>
      <c r="AK202" s="25">
        <f t="shared" si="104"/>
        <v>54</v>
      </c>
      <c r="AL202" s="25">
        <f t="shared" si="105"/>
        <v>3.6</v>
      </c>
      <c r="AM202" s="25">
        <f t="shared" si="106"/>
        <v>21.6</v>
      </c>
      <c r="AN202" s="25">
        <f t="shared" si="107"/>
        <v>0</v>
      </c>
      <c r="AO202" s="25">
        <f t="shared" si="108"/>
        <v>0</v>
      </c>
      <c r="AP202" s="25">
        <f t="shared" si="109"/>
        <v>0</v>
      </c>
      <c r="AQ202" s="25">
        <f t="shared" si="110"/>
        <v>0</v>
      </c>
      <c r="AR202" s="25">
        <f t="shared" si="111"/>
        <v>0</v>
      </c>
      <c r="AS202" s="25">
        <f t="shared" si="112"/>
        <v>0</v>
      </c>
      <c r="AT202" s="25">
        <f t="shared" si="113"/>
        <v>0</v>
      </c>
      <c r="AU202" s="25">
        <f t="shared" si="114"/>
        <v>0</v>
      </c>
      <c r="AV202" s="25">
        <f t="shared" si="115"/>
        <v>0</v>
      </c>
      <c r="AW202" s="25">
        <f t="shared" si="116"/>
        <v>0</v>
      </c>
      <c r="AX202" s="25">
        <f t="shared" si="117"/>
        <v>0</v>
      </c>
      <c r="AY202" s="25">
        <f t="shared" si="118"/>
        <v>0</v>
      </c>
      <c r="AZ202" s="25">
        <f t="shared" si="119"/>
        <v>0</v>
      </c>
      <c r="BA202" s="25">
        <f t="shared" si="120"/>
        <v>0</v>
      </c>
      <c r="BB202" s="25">
        <f t="shared" si="121"/>
        <v>0</v>
      </c>
      <c r="BC202" s="25">
        <f t="shared" si="122"/>
        <v>0</v>
      </c>
      <c r="BD202" s="25">
        <f t="shared" si="123"/>
        <v>0</v>
      </c>
      <c r="BE202" s="25">
        <f t="shared" si="124"/>
        <v>0</v>
      </c>
      <c r="BF202" s="25">
        <f t="shared" si="125"/>
        <v>21.6</v>
      </c>
    </row>
    <row r="203" spans="1:58" s="25" customFormat="1" ht="15" customHeight="1" x14ac:dyDescent="0.25">
      <c r="A203" s="38" t="s">
        <v>279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si="95"/>
        <v>8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43"/>
      <c r="Y203" s="23"/>
      <c r="Z203" s="23"/>
      <c r="AA203" s="23"/>
      <c r="AB203" s="24">
        <f t="shared" si="96"/>
        <v>0</v>
      </c>
      <c r="AC203" s="24">
        <f t="shared" si="97"/>
        <v>8</v>
      </c>
      <c r="AD203" s="25">
        <v>2.7</v>
      </c>
      <c r="AE203" s="25">
        <f t="shared" si="98"/>
        <v>21.6</v>
      </c>
      <c r="AF203" s="25">
        <f t="shared" si="99"/>
        <v>0</v>
      </c>
      <c r="AG203" s="25">
        <f t="shared" si="100"/>
        <v>0</v>
      </c>
      <c r="AH203" s="25">
        <f t="shared" si="101"/>
        <v>0</v>
      </c>
      <c r="AI203" s="25">
        <f t="shared" si="102"/>
        <v>81</v>
      </c>
      <c r="AJ203" s="25">
        <f t="shared" si="103"/>
        <v>0</v>
      </c>
      <c r="AK203" s="25">
        <f t="shared" si="104"/>
        <v>0</v>
      </c>
      <c r="AL203" s="25">
        <f t="shared" si="105"/>
        <v>5.4</v>
      </c>
      <c r="AM203" s="25">
        <f t="shared" si="106"/>
        <v>21.6</v>
      </c>
      <c r="AN203" s="25">
        <f t="shared" si="107"/>
        <v>0</v>
      </c>
      <c r="AO203" s="25">
        <f t="shared" si="108"/>
        <v>0</v>
      </c>
      <c r="AP203" s="25">
        <f t="shared" si="109"/>
        <v>0</v>
      </c>
      <c r="AQ203" s="25">
        <f t="shared" si="110"/>
        <v>0</v>
      </c>
      <c r="AR203" s="25">
        <f t="shared" si="111"/>
        <v>0</v>
      </c>
      <c r="AS203" s="25">
        <f t="shared" si="112"/>
        <v>0</v>
      </c>
      <c r="AT203" s="25">
        <f t="shared" si="113"/>
        <v>0</v>
      </c>
      <c r="AU203" s="25">
        <f t="shared" si="114"/>
        <v>0</v>
      </c>
      <c r="AV203" s="25">
        <f t="shared" si="115"/>
        <v>0</v>
      </c>
      <c r="AW203" s="25">
        <f t="shared" si="116"/>
        <v>0</v>
      </c>
      <c r="AX203" s="25">
        <f t="shared" si="117"/>
        <v>0</v>
      </c>
      <c r="AY203" s="25">
        <f t="shared" si="118"/>
        <v>0</v>
      </c>
      <c r="AZ203" s="25">
        <f t="shared" si="119"/>
        <v>0</v>
      </c>
      <c r="BA203" s="25">
        <f t="shared" si="120"/>
        <v>0</v>
      </c>
      <c r="BB203" s="25">
        <f t="shared" si="121"/>
        <v>0</v>
      </c>
      <c r="BC203" s="25">
        <f t="shared" si="122"/>
        <v>0</v>
      </c>
      <c r="BD203" s="25">
        <f t="shared" si="123"/>
        <v>0</v>
      </c>
      <c r="BE203" s="25">
        <f t="shared" si="124"/>
        <v>0</v>
      </c>
      <c r="BF203" s="25">
        <f t="shared" si="125"/>
        <v>21.6</v>
      </c>
    </row>
    <row r="204" spans="1:58" s="25" customFormat="1" ht="15" customHeight="1" x14ac:dyDescent="0.25">
      <c r="A204" s="38" t="s">
        <v>280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95"/>
        <v>189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43"/>
      <c r="Y204" s="23"/>
      <c r="Z204" s="23"/>
      <c r="AA204" s="23">
        <v>6</v>
      </c>
      <c r="AB204" s="24">
        <f t="shared" si="96"/>
        <v>129</v>
      </c>
      <c r="AC204" s="24">
        <f t="shared" si="97"/>
        <v>60</v>
      </c>
      <c r="AD204" s="25">
        <v>3.6</v>
      </c>
      <c r="AE204" s="25">
        <f t="shared" si="98"/>
        <v>680.4</v>
      </c>
      <c r="AF204" s="25">
        <f t="shared" si="99"/>
        <v>0</v>
      </c>
      <c r="AG204" s="25">
        <f t="shared" si="100"/>
        <v>0</v>
      </c>
      <c r="AH204" s="25">
        <f t="shared" si="101"/>
        <v>0</v>
      </c>
      <c r="AI204" s="25">
        <f t="shared" si="102"/>
        <v>7.2</v>
      </c>
      <c r="AJ204" s="25">
        <f t="shared" si="103"/>
        <v>0</v>
      </c>
      <c r="AK204" s="25">
        <f t="shared" si="104"/>
        <v>68.400000000000006</v>
      </c>
      <c r="AL204" s="25">
        <f t="shared" si="105"/>
        <v>0</v>
      </c>
      <c r="AM204" s="25">
        <f t="shared" si="106"/>
        <v>680.4</v>
      </c>
      <c r="AN204" s="25">
        <f t="shared" si="107"/>
        <v>0</v>
      </c>
      <c r="AO204" s="25">
        <f t="shared" si="108"/>
        <v>0</v>
      </c>
      <c r="AP204" s="25">
        <f t="shared" si="109"/>
        <v>32.4</v>
      </c>
      <c r="AQ204" s="25">
        <f t="shared" si="110"/>
        <v>0</v>
      </c>
      <c r="AR204" s="25">
        <f t="shared" si="111"/>
        <v>0</v>
      </c>
      <c r="AS204" s="25">
        <f t="shared" si="112"/>
        <v>432</v>
      </c>
      <c r="AT204" s="25">
        <f t="shared" si="113"/>
        <v>0</v>
      </c>
      <c r="AU204" s="25">
        <f t="shared" si="114"/>
        <v>0</v>
      </c>
      <c r="AV204" s="25">
        <f t="shared" si="115"/>
        <v>0</v>
      </c>
      <c r="AW204" s="25">
        <f t="shared" si="116"/>
        <v>0</v>
      </c>
      <c r="AX204" s="25">
        <f t="shared" si="117"/>
        <v>0</v>
      </c>
      <c r="AY204" s="25">
        <f t="shared" si="118"/>
        <v>0</v>
      </c>
      <c r="AZ204" s="25">
        <f t="shared" si="119"/>
        <v>0</v>
      </c>
      <c r="BA204" s="25">
        <f t="shared" si="120"/>
        <v>0</v>
      </c>
      <c r="BB204" s="25">
        <f t="shared" si="121"/>
        <v>0</v>
      </c>
      <c r="BC204" s="25">
        <f t="shared" si="122"/>
        <v>0</v>
      </c>
      <c r="BD204" s="25">
        <f t="shared" si="123"/>
        <v>21.6</v>
      </c>
      <c r="BE204" s="25">
        <f t="shared" si="124"/>
        <v>464.40000000000003</v>
      </c>
      <c r="BF204" s="25">
        <f t="shared" si="125"/>
        <v>216</v>
      </c>
    </row>
    <row r="205" spans="1:58" s="37" customFormat="1" ht="15" customHeight="1" x14ac:dyDescent="0.25">
      <c r="A205" s="38" t="s">
        <v>281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95"/>
        <v>1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23">
        <v>0</v>
      </c>
      <c r="T205" s="36"/>
      <c r="U205" s="36"/>
      <c r="V205" s="36"/>
      <c r="W205" s="36"/>
      <c r="X205" s="44"/>
      <c r="Y205" s="36"/>
      <c r="Z205" s="36"/>
      <c r="AA205" s="36"/>
      <c r="AB205" s="24">
        <f t="shared" si="96"/>
        <v>63</v>
      </c>
      <c r="AC205" s="24">
        <f t="shared" si="97"/>
        <v>-62</v>
      </c>
      <c r="AD205" s="37">
        <v>4.5</v>
      </c>
      <c r="AE205" s="25">
        <f t="shared" si="98"/>
        <v>4.5</v>
      </c>
      <c r="AF205" s="25">
        <f t="shared" si="99"/>
        <v>0</v>
      </c>
      <c r="AG205" s="25">
        <f t="shared" si="100"/>
        <v>0</v>
      </c>
      <c r="AH205" s="25">
        <f t="shared" si="101"/>
        <v>0</v>
      </c>
      <c r="AI205" s="25">
        <f t="shared" si="102"/>
        <v>225</v>
      </c>
      <c r="AJ205" s="25">
        <f t="shared" si="103"/>
        <v>4.5</v>
      </c>
      <c r="AK205" s="25">
        <f t="shared" si="104"/>
        <v>22.5</v>
      </c>
      <c r="AL205" s="25">
        <f t="shared" si="105"/>
        <v>0</v>
      </c>
      <c r="AM205" s="25">
        <f t="shared" si="106"/>
        <v>4.5</v>
      </c>
      <c r="AN205" s="25">
        <f t="shared" si="107"/>
        <v>0</v>
      </c>
      <c r="AO205" s="25">
        <f t="shared" si="108"/>
        <v>0</v>
      </c>
      <c r="AP205" s="25">
        <f t="shared" si="109"/>
        <v>0</v>
      </c>
      <c r="AQ205" s="25">
        <f t="shared" si="110"/>
        <v>0</v>
      </c>
      <c r="AR205" s="25">
        <f t="shared" si="111"/>
        <v>0</v>
      </c>
      <c r="AS205" s="25">
        <f t="shared" si="112"/>
        <v>283.5</v>
      </c>
      <c r="AT205" s="25">
        <f t="shared" si="113"/>
        <v>0</v>
      </c>
      <c r="AU205" s="25">
        <f t="shared" si="114"/>
        <v>0</v>
      </c>
      <c r="AV205" s="25">
        <f t="shared" si="115"/>
        <v>0</v>
      </c>
      <c r="AW205" s="25">
        <f t="shared" si="116"/>
        <v>0</v>
      </c>
      <c r="AX205" s="25">
        <f t="shared" si="117"/>
        <v>0</v>
      </c>
      <c r="AY205" s="25">
        <f t="shared" si="118"/>
        <v>0</v>
      </c>
      <c r="AZ205" s="25">
        <f t="shared" si="119"/>
        <v>0</v>
      </c>
      <c r="BA205" s="25">
        <f t="shared" si="120"/>
        <v>0</v>
      </c>
      <c r="BB205" s="25">
        <f t="shared" si="121"/>
        <v>0</v>
      </c>
      <c r="BC205" s="25">
        <f t="shared" si="122"/>
        <v>0</v>
      </c>
      <c r="BD205" s="25">
        <f t="shared" si="123"/>
        <v>0</v>
      </c>
      <c r="BE205" s="25">
        <f t="shared" si="124"/>
        <v>283.5</v>
      </c>
      <c r="BF205" s="25">
        <f t="shared" si="125"/>
        <v>-279</v>
      </c>
    </row>
    <row r="206" spans="1:58" s="25" customFormat="1" ht="15" customHeight="1" x14ac:dyDescent="0.25">
      <c r="A206" s="38" t="s">
        <v>282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95"/>
        <v>380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/>
      <c r="S206" s="23">
        <v>42</v>
      </c>
      <c r="T206" s="23">
        <v>50</v>
      </c>
      <c r="U206" s="23"/>
      <c r="V206" s="23"/>
      <c r="W206" s="23"/>
      <c r="X206" s="43"/>
      <c r="Y206" s="23"/>
      <c r="Z206" s="23"/>
      <c r="AA206" s="23">
        <v>2</v>
      </c>
      <c r="AB206" s="24">
        <f t="shared" si="96"/>
        <v>41</v>
      </c>
      <c r="AC206" s="24">
        <f t="shared" si="97"/>
        <v>339</v>
      </c>
      <c r="AD206" s="25">
        <v>5.4</v>
      </c>
      <c r="AE206" s="25">
        <f t="shared" si="98"/>
        <v>2052</v>
      </c>
      <c r="AF206" s="25">
        <f t="shared" si="99"/>
        <v>0</v>
      </c>
      <c r="AG206" s="25">
        <f t="shared" si="100"/>
        <v>0</v>
      </c>
      <c r="AH206" s="25">
        <f t="shared" si="101"/>
        <v>0</v>
      </c>
      <c r="AI206" s="25">
        <f t="shared" si="102"/>
        <v>32.400000000000006</v>
      </c>
      <c r="AJ206" s="25">
        <f t="shared" si="103"/>
        <v>0</v>
      </c>
      <c r="AK206" s="25">
        <f t="shared" si="104"/>
        <v>923.40000000000009</v>
      </c>
      <c r="AL206" s="25">
        <f t="shared" si="105"/>
        <v>0</v>
      </c>
      <c r="AM206" s="25">
        <f t="shared" si="106"/>
        <v>2052</v>
      </c>
      <c r="AN206" s="25">
        <f t="shared" si="107"/>
        <v>0</v>
      </c>
      <c r="AO206" s="25">
        <f t="shared" si="108"/>
        <v>27</v>
      </c>
      <c r="AP206" s="25">
        <f t="shared" si="109"/>
        <v>0</v>
      </c>
      <c r="AQ206" s="25">
        <f t="shared" si="110"/>
        <v>0</v>
      </c>
      <c r="AR206" s="25">
        <f t="shared" si="111"/>
        <v>0</v>
      </c>
      <c r="AS206" s="25">
        <f t="shared" si="112"/>
        <v>194.4</v>
      </c>
      <c r="AT206" s="25">
        <f t="shared" si="113"/>
        <v>0</v>
      </c>
      <c r="AU206" s="25">
        <f t="shared" si="114"/>
        <v>0</v>
      </c>
      <c r="AV206" s="25">
        <f t="shared" si="115"/>
        <v>226.8</v>
      </c>
      <c r="AW206" s="25">
        <f t="shared" si="116"/>
        <v>270</v>
      </c>
      <c r="AX206" s="25">
        <f t="shared" si="117"/>
        <v>0</v>
      </c>
      <c r="AY206" s="25">
        <f t="shared" si="118"/>
        <v>0</v>
      </c>
      <c r="AZ206" s="25">
        <f t="shared" si="119"/>
        <v>0</v>
      </c>
      <c r="BA206" s="25">
        <f t="shared" si="120"/>
        <v>0</v>
      </c>
      <c r="BB206" s="25">
        <f t="shared" si="121"/>
        <v>0</v>
      </c>
      <c r="BC206" s="25">
        <f t="shared" si="122"/>
        <v>0</v>
      </c>
      <c r="BD206" s="25">
        <f t="shared" si="123"/>
        <v>10.8</v>
      </c>
      <c r="BE206" s="25">
        <f t="shared" si="124"/>
        <v>221.4</v>
      </c>
      <c r="BF206" s="25">
        <f t="shared" si="125"/>
        <v>1830.6000000000001</v>
      </c>
    </row>
    <row r="207" spans="1:58" s="25" customFormat="1" ht="15" customHeight="1" x14ac:dyDescent="0.25">
      <c r="A207" s="38" t="s">
        <v>283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95"/>
        <v>147</v>
      </c>
      <c r="K207" s="21"/>
      <c r="L207" s="23"/>
      <c r="M207" s="23"/>
      <c r="N207" s="43"/>
      <c r="O207" s="43"/>
      <c r="P207" s="23"/>
      <c r="Q207" s="23"/>
      <c r="R207" s="23"/>
      <c r="S207" s="23">
        <v>15</v>
      </c>
      <c r="T207" s="23">
        <v>5</v>
      </c>
      <c r="U207" s="23"/>
      <c r="V207" s="23"/>
      <c r="W207" s="23"/>
      <c r="X207" s="43"/>
      <c r="Y207" s="23"/>
      <c r="Z207" s="23"/>
      <c r="AA207" s="23">
        <v>22</v>
      </c>
      <c r="AB207" s="24">
        <f t="shared" si="96"/>
        <v>0</v>
      </c>
      <c r="AC207" s="24">
        <f t="shared" si="97"/>
        <v>147</v>
      </c>
      <c r="AD207" s="25">
        <v>6.3</v>
      </c>
      <c r="AE207" s="25">
        <f t="shared" si="98"/>
        <v>926.1</v>
      </c>
      <c r="AF207" s="25">
        <f t="shared" si="99"/>
        <v>0</v>
      </c>
      <c r="AG207" s="25">
        <f t="shared" si="100"/>
        <v>0</v>
      </c>
      <c r="AH207" s="25">
        <f t="shared" si="101"/>
        <v>0</v>
      </c>
      <c r="AI207" s="25">
        <f t="shared" si="102"/>
        <v>0</v>
      </c>
      <c r="AJ207" s="25">
        <f t="shared" si="103"/>
        <v>0</v>
      </c>
      <c r="AK207" s="25">
        <f t="shared" si="104"/>
        <v>25.2</v>
      </c>
      <c r="AL207" s="25">
        <f t="shared" si="105"/>
        <v>0</v>
      </c>
      <c r="AM207" s="25">
        <f t="shared" si="106"/>
        <v>926.1</v>
      </c>
      <c r="AN207" s="25">
        <f t="shared" si="107"/>
        <v>0</v>
      </c>
      <c r="AO207" s="25">
        <f t="shared" si="108"/>
        <v>0</v>
      </c>
      <c r="AP207" s="25">
        <f t="shared" si="109"/>
        <v>0</v>
      </c>
      <c r="AQ207" s="25">
        <f t="shared" si="110"/>
        <v>0</v>
      </c>
      <c r="AR207" s="25">
        <f t="shared" si="111"/>
        <v>0</v>
      </c>
      <c r="AS207" s="25">
        <f t="shared" si="112"/>
        <v>0</v>
      </c>
      <c r="AT207" s="25">
        <f t="shared" si="113"/>
        <v>0</v>
      </c>
      <c r="AU207" s="25">
        <f t="shared" si="114"/>
        <v>0</v>
      </c>
      <c r="AV207" s="25">
        <f t="shared" si="115"/>
        <v>94.5</v>
      </c>
      <c r="AW207" s="25">
        <f t="shared" si="116"/>
        <v>31.5</v>
      </c>
      <c r="AX207" s="25">
        <f t="shared" si="117"/>
        <v>0</v>
      </c>
      <c r="AY207" s="25">
        <f t="shared" si="118"/>
        <v>0</v>
      </c>
      <c r="AZ207" s="25">
        <f t="shared" si="119"/>
        <v>0</v>
      </c>
      <c r="BA207" s="25">
        <f t="shared" si="120"/>
        <v>0</v>
      </c>
      <c r="BB207" s="25">
        <f t="shared" si="121"/>
        <v>0</v>
      </c>
      <c r="BC207" s="25">
        <f t="shared" si="122"/>
        <v>0</v>
      </c>
      <c r="BD207" s="25">
        <f t="shared" si="123"/>
        <v>138.6</v>
      </c>
      <c r="BE207" s="25">
        <f t="shared" si="124"/>
        <v>0</v>
      </c>
      <c r="BF207" s="25">
        <f t="shared" si="125"/>
        <v>926.1</v>
      </c>
    </row>
    <row r="208" spans="1:58" s="25" customFormat="1" ht="15" customHeight="1" x14ac:dyDescent="0.25">
      <c r="A208" s="38" t="s">
        <v>284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95"/>
        <v>347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>
        <v>21</v>
      </c>
      <c r="T208" s="23">
        <v>5</v>
      </c>
      <c r="U208" s="23"/>
      <c r="V208" s="23"/>
      <c r="W208" s="23"/>
      <c r="X208" s="43"/>
      <c r="Y208" s="23"/>
      <c r="Z208" s="23"/>
      <c r="AA208" s="23">
        <v>2</v>
      </c>
      <c r="AB208" s="24">
        <f t="shared" si="96"/>
        <v>9</v>
      </c>
      <c r="AC208" s="24">
        <f t="shared" si="97"/>
        <v>338</v>
      </c>
      <c r="AD208" s="25">
        <v>7.2</v>
      </c>
      <c r="AE208" s="25">
        <f t="shared" si="98"/>
        <v>2498.4</v>
      </c>
      <c r="AF208" s="25">
        <f t="shared" si="99"/>
        <v>0</v>
      </c>
      <c r="AG208" s="25">
        <f t="shared" si="100"/>
        <v>0</v>
      </c>
      <c r="AH208" s="25">
        <f t="shared" si="101"/>
        <v>0</v>
      </c>
      <c r="AI208" s="25">
        <f t="shared" si="102"/>
        <v>100.8</v>
      </c>
      <c r="AJ208" s="25">
        <f t="shared" si="103"/>
        <v>14.4</v>
      </c>
      <c r="AK208" s="25">
        <f t="shared" si="104"/>
        <v>57.6</v>
      </c>
      <c r="AL208" s="25">
        <f t="shared" si="105"/>
        <v>0</v>
      </c>
      <c r="AM208" s="25">
        <f t="shared" si="106"/>
        <v>2498.4</v>
      </c>
      <c r="AN208" s="25">
        <f t="shared" si="107"/>
        <v>0</v>
      </c>
      <c r="AO208" s="25">
        <f t="shared" si="108"/>
        <v>0</v>
      </c>
      <c r="AP208" s="25">
        <f t="shared" si="109"/>
        <v>64.8</v>
      </c>
      <c r="AQ208" s="25">
        <f t="shared" si="110"/>
        <v>0</v>
      </c>
      <c r="AR208" s="25">
        <f t="shared" si="111"/>
        <v>0</v>
      </c>
      <c r="AS208" s="25">
        <f t="shared" si="112"/>
        <v>0</v>
      </c>
      <c r="AT208" s="25">
        <f t="shared" si="113"/>
        <v>0</v>
      </c>
      <c r="AU208" s="25">
        <f t="shared" si="114"/>
        <v>0</v>
      </c>
      <c r="AV208" s="25">
        <f t="shared" si="115"/>
        <v>151.20000000000002</v>
      </c>
      <c r="AW208" s="25">
        <f t="shared" si="116"/>
        <v>36</v>
      </c>
      <c r="AX208" s="25">
        <f t="shared" si="117"/>
        <v>0</v>
      </c>
      <c r="AY208" s="25">
        <f t="shared" si="118"/>
        <v>0</v>
      </c>
      <c r="AZ208" s="25">
        <f t="shared" si="119"/>
        <v>0</v>
      </c>
      <c r="BA208" s="25">
        <f t="shared" si="120"/>
        <v>0</v>
      </c>
      <c r="BB208" s="25">
        <f t="shared" si="121"/>
        <v>0</v>
      </c>
      <c r="BC208" s="25">
        <f t="shared" si="122"/>
        <v>0</v>
      </c>
      <c r="BD208" s="25">
        <f t="shared" si="123"/>
        <v>14.4</v>
      </c>
      <c r="BE208" s="25">
        <f t="shared" si="124"/>
        <v>64.8</v>
      </c>
      <c r="BF208" s="25">
        <f t="shared" si="125"/>
        <v>2433.6</v>
      </c>
    </row>
    <row r="209" spans="1:58" s="25" customFormat="1" ht="15" customHeight="1" x14ac:dyDescent="0.25">
      <c r="A209" s="38" t="s">
        <v>285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95"/>
        <v>13</v>
      </c>
      <c r="K209" s="21"/>
      <c r="L209" s="23"/>
      <c r="M209" s="23"/>
      <c r="N209" s="43"/>
      <c r="O209" s="43"/>
      <c r="P209" s="23"/>
      <c r="Q209" s="23"/>
      <c r="R209" s="23"/>
      <c r="S209" s="23">
        <v>2</v>
      </c>
      <c r="T209" s="23">
        <v>10</v>
      </c>
      <c r="U209" s="23"/>
      <c r="V209" s="23"/>
      <c r="W209" s="23"/>
      <c r="X209" s="43"/>
      <c r="Y209" s="23"/>
      <c r="Z209" s="23"/>
      <c r="AA209" s="23">
        <v>3</v>
      </c>
      <c r="AB209" s="24">
        <f t="shared" si="96"/>
        <v>0</v>
      </c>
      <c r="AC209" s="24">
        <f t="shared" si="97"/>
        <v>13</v>
      </c>
      <c r="AD209" s="25">
        <v>8.1</v>
      </c>
      <c r="AE209" s="25">
        <f t="shared" si="98"/>
        <v>105.3</v>
      </c>
      <c r="AF209" s="25">
        <f t="shared" si="99"/>
        <v>0</v>
      </c>
      <c r="AG209" s="25">
        <f t="shared" si="100"/>
        <v>0</v>
      </c>
      <c r="AH209" s="25">
        <f t="shared" si="101"/>
        <v>0</v>
      </c>
      <c r="AI209" s="25">
        <f t="shared" si="102"/>
        <v>0</v>
      </c>
      <c r="AJ209" s="25">
        <f t="shared" si="103"/>
        <v>0</v>
      </c>
      <c r="AK209" s="25">
        <f t="shared" si="104"/>
        <v>0</v>
      </c>
      <c r="AL209" s="25">
        <f t="shared" si="105"/>
        <v>0</v>
      </c>
      <c r="AM209" s="25">
        <f t="shared" si="106"/>
        <v>105.3</v>
      </c>
      <c r="AN209" s="25">
        <f t="shared" si="107"/>
        <v>0</v>
      </c>
      <c r="AO209" s="25">
        <f t="shared" si="108"/>
        <v>0</v>
      </c>
      <c r="AP209" s="25">
        <f t="shared" si="109"/>
        <v>0</v>
      </c>
      <c r="AQ209" s="25">
        <f t="shared" si="110"/>
        <v>0</v>
      </c>
      <c r="AR209" s="25">
        <f t="shared" si="111"/>
        <v>0</v>
      </c>
      <c r="AS209" s="25">
        <f t="shared" si="112"/>
        <v>0</v>
      </c>
      <c r="AT209" s="25">
        <f t="shared" si="113"/>
        <v>0</v>
      </c>
      <c r="AU209" s="25">
        <f t="shared" si="114"/>
        <v>0</v>
      </c>
      <c r="AV209" s="25">
        <f t="shared" si="115"/>
        <v>16.2</v>
      </c>
      <c r="AW209" s="25">
        <f t="shared" si="116"/>
        <v>81</v>
      </c>
      <c r="AX209" s="25">
        <f t="shared" si="117"/>
        <v>0</v>
      </c>
      <c r="AY209" s="25">
        <f t="shared" si="118"/>
        <v>0</v>
      </c>
      <c r="AZ209" s="25">
        <f t="shared" si="119"/>
        <v>0</v>
      </c>
      <c r="BA209" s="25">
        <f t="shared" si="120"/>
        <v>0</v>
      </c>
      <c r="BB209" s="25">
        <f t="shared" si="121"/>
        <v>0</v>
      </c>
      <c r="BC209" s="25">
        <f t="shared" si="122"/>
        <v>0</v>
      </c>
      <c r="BD209" s="25">
        <f t="shared" si="123"/>
        <v>24.299999999999997</v>
      </c>
      <c r="BE209" s="25">
        <f t="shared" si="124"/>
        <v>0</v>
      </c>
      <c r="BF209" s="25">
        <f t="shared" si="125"/>
        <v>105.3</v>
      </c>
    </row>
    <row r="210" spans="1:58" s="25" customFormat="1" ht="15" customHeight="1" x14ac:dyDescent="0.25">
      <c r="A210" s="38" t="s">
        <v>286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95"/>
        <v>1</v>
      </c>
      <c r="K210" s="21"/>
      <c r="L210" s="23"/>
      <c r="M210" s="23">
        <v>0</v>
      </c>
      <c r="N210" s="43"/>
      <c r="O210" s="43"/>
      <c r="P210" s="23"/>
      <c r="Q210" s="23"/>
      <c r="R210" s="23"/>
      <c r="S210" s="23"/>
      <c r="T210" s="23">
        <v>15</v>
      </c>
      <c r="U210" s="23"/>
      <c r="V210" s="23"/>
      <c r="W210" s="23"/>
      <c r="X210" s="43"/>
      <c r="Y210" s="23"/>
      <c r="Z210" s="23"/>
      <c r="AA210" s="23">
        <v>1</v>
      </c>
      <c r="AB210" s="24">
        <f t="shared" si="96"/>
        <v>0</v>
      </c>
      <c r="AC210" s="24">
        <f t="shared" si="97"/>
        <v>1</v>
      </c>
      <c r="AD210" s="25">
        <v>9</v>
      </c>
      <c r="AE210" s="25">
        <f t="shared" si="98"/>
        <v>9</v>
      </c>
      <c r="AF210" s="25">
        <f t="shared" si="99"/>
        <v>0</v>
      </c>
      <c r="AG210" s="25">
        <f t="shared" si="100"/>
        <v>0</v>
      </c>
      <c r="AH210" s="25">
        <f t="shared" si="101"/>
        <v>0</v>
      </c>
      <c r="AI210" s="25">
        <f t="shared" si="102"/>
        <v>351</v>
      </c>
      <c r="AJ210" s="25">
        <f t="shared" si="103"/>
        <v>0</v>
      </c>
      <c r="AK210" s="25">
        <f t="shared" si="104"/>
        <v>0</v>
      </c>
      <c r="AL210" s="25">
        <f t="shared" si="105"/>
        <v>0</v>
      </c>
      <c r="AM210" s="25">
        <f t="shared" si="106"/>
        <v>9</v>
      </c>
      <c r="AN210" s="25">
        <f t="shared" si="107"/>
        <v>0</v>
      </c>
      <c r="AO210" s="25">
        <f t="shared" si="108"/>
        <v>0</v>
      </c>
      <c r="AP210" s="25">
        <f t="shared" si="109"/>
        <v>0</v>
      </c>
      <c r="AQ210" s="25">
        <f t="shared" si="110"/>
        <v>0</v>
      </c>
      <c r="AR210" s="25">
        <f t="shared" si="111"/>
        <v>0</v>
      </c>
      <c r="AS210" s="25">
        <f t="shared" si="112"/>
        <v>0</v>
      </c>
      <c r="AT210" s="25">
        <f t="shared" si="113"/>
        <v>0</v>
      </c>
      <c r="AU210" s="25">
        <f t="shared" si="114"/>
        <v>0</v>
      </c>
      <c r="AV210" s="25">
        <f t="shared" si="115"/>
        <v>0</v>
      </c>
      <c r="AW210" s="25">
        <f t="shared" si="116"/>
        <v>135</v>
      </c>
      <c r="AX210" s="25">
        <f t="shared" si="117"/>
        <v>0</v>
      </c>
      <c r="AY210" s="25">
        <f t="shared" si="118"/>
        <v>0</v>
      </c>
      <c r="AZ210" s="25">
        <f t="shared" si="119"/>
        <v>0</v>
      </c>
      <c r="BA210" s="25">
        <f t="shared" si="120"/>
        <v>0</v>
      </c>
      <c r="BB210" s="25">
        <f t="shared" si="121"/>
        <v>0</v>
      </c>
      <c r="BC210" s="25">
        <f t="shared" si="122"/>
        <v>0</v>
      </c>
      <c r="BD210" s="25">
        <f t="shared" si="123"/>
        <v>9</v>
      </c>
      <c r="BE210" s="25">
        <f t="shared" si="124"/>
        <v>0</v>
      </c>
      <c r="BF210" s="25">
        <f t="shared" si="125"/>
        <v>9</v>
      </c>
    </row>
    <row r="211" spans="1:58" s="25" customFormat="1" ht="15" customHeight="1" x14ac:dyDescent="0.25">
      <c r="A211" s="38" t="s">
        <v>287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>
        <f t="shared" si="95"/>
        <v>49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>
        <v>10</v>
      </c>
      <c r="U211" s="23"/>
      <c r="V211" s="23"/>
      <c r="W211" s="23"/>
      <c r="X211" s="43"/>
      <c r="Y211" s="23"/>
      <c r="Z211" s="23"/>
      <c r="AA211" s="23"/>
      <c r="AB211" s="24">
        <f t="shared" si="96"/>
        <v>0</v>
      </c>
      <c r="AC211" s="24">
        <f t="shared" si="97"/>
        <v>49</v>
      </c>
      <c r="AD211" s="25">
        <v>9.9</v>
      </c>
      <c r="AE211" s="25">
        <f t="shared" si="98"/>
        <v>0</v>
      </c>
      <c r="AF211" s="25">
        <f t="shared" si="99"/>
        <v>0</v>
      </c>
      <c r="AG211" s="25">
        <f t="shared" si="100"/>
        <v>0</v>
      </c>
      <c r="AH211" s="25">
        <f t="shared" si="101"/>
        <v>485.1</v>
      </c>
      <c r="AI211" s="25">
        <f t="shared" si="102"/>
        <v>0</v>
      </c>
      <c r="AJ211" s="25">
        <f t="shared" si="103"/>
        <v>0</v>
      </c>
      <c r="AK211" s="25">
        <f t="shared" si="104"/>
        <v>0</v>
      </c>
      <c r="AL211" s="25">
        <f t="shared" si="105"/>
        <v>0</v>
      </c>
      <c r="AM211" s="25">
        <f t="shared" si="106"/>
        <v>485.1</v>
      </c>
      <c r="AN211" s="25">
        <f t="shared" si="107"/>
        <v>0</v>
      </c>
      <c r="AO211" s="25">
        <f t="shared" si="108"/>
        <v>0</v>
      </c>
      <c r="AP211" s="25">
        <f t="shared" si="109"/>
        <v>0</v>
      </c>
      <c r="AQ211" s="25">
        <f t="shared" si="110"/>
        <v>0</v>
      </c>
      <c r="AR211" s="25">
        <f t="shared" si="111"/>
        <v>0</v>
      </c>
      <c r="AS211" s="25">
        <f t="shared" si="112"/>
        <v>0</v>
      </c>
      <c r="AT211" s="25">
        <f t="shared" si="113"/>
        <v>0</v>
      </c>
      <c r="AU211" s="25">
        <f t="shared" si="114"/>
        <v>0</v>
      </c>
      <c r="AV211" s="25">
        <f t="shared" si="115"/>
        <v>0</v>
      </c>
      <c r="AW211" s="25">
        <f t="shared" si="116"/>
        <v>99</v>
      </c>
      <c r="AX211" s="25">
        <f t="shared" si="117"/>
        <v>0</v>
      </c>
      <c r="AY211" s="25">
        <f t="shared" si="118"/>
        <v>0</v>
      </c>
      <c r="AZ211" s="25">
        <f t="shared" si="119"/>
        <v>0</v>
      </c>
      <c r="BA211" s="25">
        <f t="shared" si="120"/>
        <v>0</v>
      </c>
      <c r="BB211" s="25">
        <f t="shared" si="121"/>
        <v>0</v>
      </c>
      <c r="BC211" s="25">
        <f t="shared" si="122"/>
        <v>0</v>
      </c>
      <c r="BD211" s="25">
        <f t="shared" si="123"/>
        <v>0</v>
      </c>
      <c r="BE211" s="25">
        <f t="shared" si="124"/>
        <v>0</v>
      </c>
      <c r="BF211" s="25">
        <f t="shared" si="125"/>
        <v>485.1</v>
      </c>
    </row>
    <row r="212" spans="1:58" s="25" customFormat="1" ht="15" customHeight="1" x14ac:dyDescent="0.25">
      <c r="A212" s="38" t="s">
        <v>288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95"/>
        <v>10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>
        <v>35</v>
      </c>
      <c r="U212" s="23"/>
      <c r="V212" s="23"/>
      <c r="W212" s="23"/>
      <c r="X212" s="43"/>
      <c r="Y212" s="23"/>
      <c r="Z212" s="23"/>
      <c r="AA212" s="23"/>
      <c r="AB212" s="24">
        <f t="shared" si="96"/>
        <v>0</v>
      </c>
      <c r="AC212" s="24">
        <f t="shared" si="97"/>
        <v>10</v>
      </c>
      <c r="AD212" s="25">
        <v>10.8</v>
      </c>
      <c r="AE212" s="25">
        <f t="shared" si="98"/>
        <v>108</v>
      </c>
      <c r="AF212" s="25">
        <f t="shared" si="99"/>
        <v>0</v>
      </c>
      <c r="AG212" s="25">
        <f t="shared" si="100"/>
        <v>0</v>
      </c>
      <c r="AH212" s="25">
        <f t="shared" si="101"/>
        <v>0</v>
      </c>
      <c r="AI212" s="25">
        <f t="shared" si="102"/>
        <v>0</v>
      </c>
      <c r="AJ212" s="25">
        <f t="shared" si="103"/>
        <v>0</v>
      </c>
      <c r="AK212" s="25">
        <f t="shared" si="104"/>
        <v>378</v>
      </c>
      <c r="AL212" s="25">
        <f t="shared" si="105"/>
        <v>0</v>
      </c>
      <c r="AM212" s="25">
        <f t="shared" si="106"/>
        <v>108</v>
      </c>
      <c r="AN212" s="25">
        <f t="shared" si="107"/>
        <v>0</v>
      </c>
      <c r="AO212" s="25">
        <f t="shared" si="108"/>
        <v>0</v>
      </c>
      <c r="AP212" s="25">
        <f t="shared" si="109"/>
        <v>0</v>
      </c>
      <c r="AQ212" s="25">
        <f t="shared" si="110"/>
        <v>0</v>
      </c>
      <c r="AR212" s="25">
        <f t="shared" si="111"/>
        <v>0</v>
      </c>
      <c r="AS212" s="25">
        <f t="shared" si="112"/>
        <v>0</v>
      </c>
      <c r="AT212" s="25">
        <f t="shared" si="113"/>
        <v>0</v>
      </c>
      <c r="AU212" s="25">
        <f t="shared" si="114"/>
        <v>0</v>
      </c>
      <c r="AV212" s="25">
        <f t="shared" si="115"/>
        <v>0</v>
      </c>
      <c r="AW212" s="25">
        <f t="shared" si="116"/>
        <v>378</v>
      </c>
      <c r="AX212" s="25">
        <f t="shared" si="117"/>
        <v>0</v>
      </c>
      <c r="AY212" s="25">
        <f t="shared" si="118"/>
        <v>0</v>
      </c>
      <c r="AZ212" s="25">
        <f t="shared" si="119"/>
        <v>0</v>
      </c>
      <c r="BA212" s="25">
        <f t="shared" si="120"/>
        <v>0</v>
      </c>
      <c r="BB212" s="25">
        <f t="shared" si="121"/>
        <v>0</v>
      </c>
      <c r="BC212" s="25">
        <f t="shared" si="122"/>
        <v>0</v>
      </c>
      <c r="BD212" s="25">
        <f t="shared" si="123"/>
        <v>0</v>
      </c>
      <c r="BE212" s="25">
        <f t="shared" si="124"/>
        <v>0</v>
      </c>
      <c r="BF212" s="25">
        <f t="shared" si="125"/>
        <v>108</v>
      </c>
    </row>
    <row r="213" spans="1:58" s="25" customFormat="1" ht="15" customHeight="1" x14ac:dyDescent="0.25">
      <c r="A213" s="38" t="s">
        <v>289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95"/>
        <v>3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43"/>
      <c r="Y213" s="23"/>
      <c r="Z213" s="23"/>
      <c r="AA213" s="23"/>
      <c r="AB213" s="24">
        <f t="shared" si="96"/>
        <v>5</v>
      </c>
      <c r="AC213" s="24">
        <f t="shared" si="97"/>
        <v>-2</v>
      </c>
      <c r="AD213" s="25">
        <v>11.7</v>
      </c>
      <c r="AE213" s="25">
        <f t="shared" si="98"/>
        <v>35.099999999999994</v>
      </c>
      <c r="AF213" s="25">
        <f t="shared" si="99"/>
        <v>0</v>
      </c>
      <c r="AG213" s="25">
        <f t="shared" si="100"/>
        <v>0</v>
      </c>
      <c r="AH213" s="25">
        <f t="shared" si="101"/>
        <v>0</v>
      </c>
      <c r="AI213" s="25">
        <f t="shared" si="102"/>
        <v>198.89999999999998</v>
      </c>
      <c r="AJ213" s="25">
        <f t="shared" si="103"/>
        <v>0</v>
      </c>
      <c r="AK213" s="25">
        <f t="shared" si="104"/>
        <v>0</v>
      </c>
      <c r="AL213" s="25">
        <f t="shared" si="105"/>
        <v>0</v>
      </c>
      <c r="AM213" s="25">
        <f t="shared" si="106"/>
        <v>35.099999999999994</v>
      </c>
      <c r="AN213" s="25">
        <f t="shared" si="107"/>
        <v>0</v>
      </c>
      <c r="AO213" s="25">
        <f t="shared" si="108"/>
        <v>58.5</v>
      </c>
      <c r="AP213" s="25">
        <f t="shared" si="109"/>
        <v>0</v>
      </c>
      <c r="AQ213" s="25">
        <f t="shared" si="110"/>
        <v>0</v>
      </c>
      <c r="AR213" s="25">
        <f t="shared" si="111"/>
        <v>0</v>
      </c>
      <c r="AS213" s="25">
        <f t="shared" si="112"/>
        <v>0</v>
      </c>
      <c r="AT213" s="25">
        <f t="shared" si="113"/>
        <v>0</v>
      </c>
      <c r="AU213" s="25">
        <f t="shared" si="114"/>
        <v>0</v>
      </c>
      <c r="AV213" s="25">
        <f t="shared" si="115"/>
        <v>0</v>
      </c>
      <c r="AW213" s="25">
        <f t="shared" si="116"/>
        <v>0</v>
      </c>
      <c r="AX213" s="25">
        <f t="shared" si="117"/>
        <v>0</v>
      </c>
      <c r="AY213" s="25">
        <f t="shared" si="118"/>
        <v>0</v>
      </c>
      <c r="AZ213" s="25">
        <f t="shared" si="119"/>
        <v>0</v>
      </c>
      <c r="BA213" s="25">
        <f t="shared" si="120"/>
        <v>0</v>
      </c>
      <c r="BB213" s="25">
        <f t="shared" si="121"/>
        <v>0</v>
      </c>
      <c r="BC213" s="25">
        <f t="shared" si="122"/>
        <v>0</v>
      </c>
      <c r="BD213" s="25">
        <f t="shared" si="123"/>
        <v>0</v>
      </c>
      <c r="BE213" s="25">
        <f t="shared" si="124"/>
        <v>58.5</v>
      </c>
      <c r="BF213" s="25">
        <f t="shared" si="125"/>
        <v>-23.4</v>
      </c>
    </row>
    <row r="214" spans="1:58" s="25" customFormat="1" ht="15" customHeight="1" x14ac:dyDescent="0.25">
      <c r="A214" s="38" t="s">
        <v>290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95"/>
        <v>1</v>
      </c>
      <c r="K214" s="21"/>
      <c r="L214" s="23">
        <v>25</v>
      </c>
      <c r="M214" s="23"/>
      <c r="N214" s="43"/>
      <c r="O214" s="43"/>
      <c r="P214" s="23"/>
      <c r="Q214" s="23"/>
      <c r="R214" s="23"/>
      <c r="S214" s="23"/>
      <c r="T214" s="23">
        <v>5</v>
      </c>
      <c r="U214" s="23"/>
      <c r="V214" s="23"/>
      <c r="W214" s="23"/>
      <c r="X214" s="43"/>
      <c r="Y214" s="23"/>
      <c r="Z214" s="23"/>
      <c r="AA214" s="23"/>
      <c r="AB214" s="24">
        <f t="shared" si="96"/>
        <v>25</v>
      </c>
      <c r="AC214" s="24">
        <f t="shared" si="97"/>
        <v>-24</v>
      </c>
      <c r="AD214" s="25">
        <v>12.6</v>
      </c>
      <c r="AE214" s="25">
        <f t="shared" si="98"/>
        <v>12.6</v>
      </c>
      <c r="AF214" s="25">
        <f t="shared" si="99"/>
        <v>0</v>
      </c>
      <c r="AG214" s="25">
        <f t="shared" si="100"/>
        <v>0</v>
      </c>
      <c r="AH214" s="25">
        <f t="shared" si="101"/>
        <v>0</v>
      </c>
      <c r="AI214" s="25">
        <f t="shared" si="102"/>
        <v>0</v>
      </c>
      <c r="AJ214" s="25">
        <f t="shared" si="103"/>
        <v>0</v>
      </c>
      <c r="AK214" s="25">
        <f t="shared" si="104"/>
        <v>0</v>
      </c>
      <c r="AL214" s="25">
        <f t="shared" si="105"/>
        <v>63</v>
      </c>
      <c r="AM214" s="25">
        <f t="shared" si="106"/>
        <v>12.6</v>
      </c>
      <c r="AN214" s="25">
        <f t="shared" si="107"/>
        <v>0</v>
      </c>
      <c r="AO214" s="25">
        <f t="shared" si="108"/>
        <v>315</v>
      </c>
      <c r="AP214" s="25">
        <f t="shared" si="109"/>
        <v>0</v>
      </c>
      <c r="AQ214" s="25">
        <f t="shared" si="110"/>
        <v>0</v>
      </c>
      <c r="AR214" s="25">
        <f t="shared" si="111"/>
        <v>0</v>
      </c>
      <c r="AS214" s="25">
        <f t="shared" si="112"/>
        <v>0</v>
      </c>
      <c r="AT214" s="25">
        <f t="shared" si="113"/>
        <v>0</v>
      </c>
      <c r="AU214" s="25">
        <f t="shared" si="114"/>
        <v>0</v>
      </c>
      <c r="AV214" s="25">
        <f t="shared" si="115"/>
        <v>0</v>
      </c>
      <c r="AW214" s="25">
        <f t="shared" si="116"/>
        <v>63</v>
      </c>
      <c r="AX214" s="25">
        <f t="shared" si="117"/>
        <v>0</v>
      </c>
      <c r="AY214" s="25">
        <f t="shared" si="118"/>
        <v>0</v>
      </c>
      <c r="AZ214" s="25">
        <f t="shared" si="119"/>
        <v>0</v>
      </c>
      <c r="BA214" s="25">
        <f t="shared" si="120"/>
        <v>0</v>
      </c>
      <c r="BB214" s="25">
        <f t="shared" si="121"/>
        <v>0</v>
      </c>
      <c r="BC214" s="25">
        <f t="shared" si="122"/>
        <v>0</v>
      </c>
      <c r="BD214" s="25">
        <f t="shared" si="123"/>
        <v>0</v>
      </c>
      <c r="BE214" s="25">
        <f t="shared" si="124"/>
        <v>315</v>
      </c>
      <c r="BF214" s="25">
        <f t="shared" si="125"/>
        <v>-302.39999999999998</v>
      </c>
    </row>
    <row r="215" spans="1:58" s="25" customFormat="1" ht="15" customHeight="1" x14ac:dyDescent="0.25">
      <c r="A215" s="38" t="s">
        <v>291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95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43"/>
      <c r="Y215" s="23"/>
      <c r="Z215" s="23"/>
      <c r="AA215" s="23"/>
      <c r="AB215" s="24">
        <f t="shared" si="96"/>
        <v>0</v>
      </c>
      <c r="AC215" s="24">
        <f t="shared" si="97"/>
        <v>0</v>
      </c>
      <c r="AD215" s="25">
        <v>13.5</v>
      </c>
      <c r="AE215" s="25">
        <f t="shared" si="98"/>
        <v>0</v>
      </c>
      <c r="AF215" s="25">
        <f t="shared" si="99"/>
        <v>0</v>
      </c>
      <c r="AG215" s="25">
        <f t="shared" si="100"/>
        <v>0</v>
      </c>
      <c r="AH215" s="25">
        <f t="shared" si="101"/>
        <v>0</v>
      </c>
      <c r="AI215" s="25">
        <f t="shared" si="102"/>
        <v>0</v>
      </c>
      <c r="AJ215" s="25">
        <f t="shared" si="103"/>
        <v>0</v>
      </c>
      <c r="AK215" s="25">
        <f t="shared" si="104"/>
        <v>0</v>
      </c>
      <c r="AL215" s="25">
        <f t="shared" si="105"/>
        <v>0</v>
      </c>
      <c r="AM215" s="25">
        <f t="shared" si="106"/>
        <v>0</v>
      </c>
      <c r="AN215" s="25">
        <f t="shared" si="107"/>
        <v>0</v>
      </c>
      <c r="AO215" s="25">
        <f t="shared" si="108"/>
        <v>0</v>
      </c>
      <c r="AP215" s="25">
        <f t="shared" si="109"/>
        <v>0</v>
      </c>
      <c r="AQ215" s="25">
        <f t="shared" si="110"/>
        <v>0</v>
      </c>
      <c r="AR215" s="25">
        <f t="shared" si="111"/>
        <v>0</v>
      </c>
      <c r="AS215" s="25">
        <f t="shared" si="112"/>
        <v>0</v>
      </c>
      <c r="AT215" s="25">
        <f t="shared" si="113"/>
        <v>0</v>
      </c>
      <c r="AU215" s="25">
        <f t="shared" si="114"/>
        <v>0</v>
      </c>
      <c r="AV215" s="25">
        <f t="shared" si="115"/>
        <v>0</v>
      </c>
      <c r="AW215" s="25">
        <f t="shared" si="116"/>
        <v>0</v>
      </c>
      <c r="AX215" s="25">
        <f t="shared" si="117"/>
        <v>0</v>
      </c>
      <c r="AY215" s="25">
        <f t="shared" si="118"/>
        <v>0</v>
      </c>
      <c r="AZ215" s="25">
        <f t="shared" si="119"/>
        <v>0</v>
      </c>
      <c r="BA215" s="25">
        <f t="shared" si="120"/>
        <v>0</v>
      </c>
      <c r="BB215" s="25">
        <f t="shared" si="121"/>
        <v>0</v>
      </c>
      <c r="BC215" s="25">
        <f t="shared" si="122"/>
        <v>0</v>
      </c>
      <c r="BD215" s="25">
        <f t="shared" si="123"/>
        <v>0</v>
      </c>
      <c r="BE215" s="25">
        <f t="shared" si="124"/>
        <v>0</v>
      </c>
      <c r="BF215" s="25">
        <f t="shared" si="125"/>
        <v>0</v>
      </c>
    </row>
    <row r="216" spans="1:58" s="25" customFormat="1" ht="15" customHeight="1" x14ac:dyDescent="0.25">
      <c r="A216" s="38" t="s">
        <v>292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95"/>
        <v>0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>
        <v>25</v>
      </c>
      <c r="U216" s="23"/>
      <c r="V216" s="23"/>
      <c r="W216" s="23"/>
      <c r="X216" s="43"/>
      <c r="Y216" s="23"/>
      <c r="Z216" s="23"/>
      <c r="AA216" s="23"/>
      <c r="AB216" s="24">
        <f t="shared" si="96"/>
        <v>0</v>
      </c>
      <c r="AC216" s="24">
        <f t="shared" si="97"/>
        <v>0</v>
      </c>
      <c r="AD216" s="25">
        <v>14.4</v>
      </c>
      <c r="AE216" s="25">
        <f t="shared" si="98"/>
        <v>0</v>
      </c>
      <c r="AF216" s="25">
        <f t="shared" si="99"/>
        <v>0</v>
      </c>
      <c r="AG216" s="25">
        <f t="shared" si="100"/>
        <v>0</v>
      </c>
      <c r="AH216" s="25">
        <f t="shared" si="101"/>
        <v>0</v>
      </c>
      <c r="AI216" s="25">
        <f t="shared" si="102"/>
        <v>0</v>
      </c>
      <c r="AJ216" s="25">
        <f t="shared" si="103"/>
        <v>72</v>
      </c>
      <c r="AK216" s="25">
        <f t="shared" si="104"/>
        <v>0</v>
      </c>
      <c r="AL216" s="25">
        <f t="shared" si="105"/>
        <v>0</v>
      </c>
      <c r="AM216" s="25">
        <f t="shared" si="106"/>
        <v>0</v>
      </c>
      <c r="AN216" s="25">
        <f t="shared" si="107"/>
        <v>0</v>
      </c>
      <c r="AO216" s="25">
        <f t="shared" si="108"/>
        <v>0</v>
      </c>
      <c r="AP216" s="25">
        <f t="shared" si="109"/>
        <v>0</v>
      </c>
      <c r="AQ216" s="25">
        <f t="shared" si="110"/>
        <v>0</v>
      </c>
      <c r="AR216" s="25">
        <f t="shared" si="111"/>
        <v>0</v>
      </c>
      <c r="AS216" s="25">
        <f t="shared" si="112"/>
        <v>0</v>
      </c>
      <c r="AT216" s="25">
        <f t="shared" si="113"/>
        <v>0</v>
      </c>
      <c r="AU216" s="25">
        <f t="shared" si="114"/>
        <v>0</v>
      </c>
      <c r="AV216" s="25">
        <f t="shared" si="115"/>
        <v>0</v>
      </c>
      <c r="AW216" s="25">
        <f t="shared" si="116"/>
        <v>360</v>
      </c>
      <c r="AX216" s="25">
        <f t="shared" si="117"/>
        <v>0</v>
      </c>
      <c r="AY216" s="25">
        <f t="shared" si="118"/>
        <v>0</v>
      </c>
      <c r="AZ216" s="25">
        <f t="shared" si="119"/>
        <v>0</v>
      </c>
      <c r="BA216" s="25">
        <f t="shared" si="120"/>
        <v>0</v>
      </c>
      <c r="BB216" s="25">
        <f t="shared" si="121"/>
        <v>0</v>
      </c>
      <c r="BC216" s="25">
        <f t="shared" si="122"/>
        <v>0</v>
      </c>
      <c r="BD216" s="25">
        <f t="shared" si="123"/>
        <v>0</v>
      </c>
      <c r="BE216" s="25">
        <f t="shared" si="124"/>
        <v>0</v>
      </c>
      <c r="BF216" s="25">
        <f t="shared" si="125"/>
        <v>0</v>
      </c>
    </row>
    <row r="217" spans="1:58" s="25" customFormat="1" ht="15" customHeight="1" x14ac:dyDescent="0.25">
      <c r="A217" s="38" t="s">
        <v>293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95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>
        <v>16</v>
      </c>
      <c r="U217" s="23"/>
      <c r="V217" s="23"/>
      <c r="W217" s="23"/>
      <c r="X217" s="43"/>
      <c r="Y217" s="23"/>
      <c r="Z217" s="23"/>
      <c r="AA217" s="23"/>
      <c r="AB217" s="24">
        <f t="shared" si="96"/>
        <v>0</v>
      </c>
      <c r="AC217" s="24">
        <f t="shared" si="97"/>
        <v>0</v>
      </c>
      <c r="AD217" s="25">
        <v>16.2</v>
      </c>
      <c r="AE217" s="25">
        <f t="shared" si="98"/>
        <v>0</v>
      </c>
      <c r="AF217" s="25">
        <f t="shared" si="99"/>
        <v>0</v>
      </c>
      <c r="AG217" s="25">
        <f t="shared" si="100"/>
        <v>0</v>
      </c>
      <c r="AH217" s="25">
        <f t="shared" si="101"/>
        <v>0</v>
      </c>
      <c r="AI217" s="25">
        <f t="shared" si="102"/>
        <v>0</v>
      </c>
      <c r="AJ217" s="25">
        <f t="shared" si="103"/>
        <v>0</v>
      </c>
      <c r="AK217" s="25">
        <f t="shared" si="104"/>
        <v>0</v>
      </c>
      <c r="AL217" s="25">
        <f t="shared" si="105"/>
        <v>0</v>
      </c>
      <c r="AM217" s="25">
        <f t="shared" si="106"/>
        <v>0</v>
      </c>
      <c r="AN217" s="25">
        <f t="shared" si="107"/>
        <v>0</v>
      </c>
      <c r="AO217" s="25">
        <f t="shared" si="108"/>
        <v>0</v>
      </c>
      <c r="AP217" s="25">
        <f t="shared" si="109"/>
        <v>0</v>
      </c>
      <c r="AQ217" s="25">
        <f t="shared" si="110"/>
        <v>0</v>
      </c>
      <c r="AR217" s="25">
        <f t="shared" si="111"/>
        <v>0</v>
      </c>
      <c r="AS217" s="25">
        <f t="shared" si="112"/>
        <v>0</v>
      </c>
      <c r="AT217" s="25">
        <f t="shared" si="113"/>
        <v>0</v>
      </c>
      <c r="AU217" s="25">
        <f t="shared" si="114"/>
        <v>0</v>
      </c>
      <c r="AV217" s="25">
        <f t="shared" si="115"/>
        <v>0</v>
      </c>
      <c r="AW217" s="25">
        <f t="shared" si="116"/>
        <v>259.2</v>
      </c>
      <c r="AX217" s="25">
        <f t="shared" si="117"/>
        <v>0</v>
      </c>
      <c r="AY217" s="25">
        <f t="shared" si="118"/>
        <v>0</v>
      </c>
      <c r="AZ217" s="25">
        <f t="shared" si="119"/>
        <v>0</v>
      </c>
      <c r="BA217" s="25">
        <f t="shared" si="120"/>
        <v>0</v>
      </c>
      <c r="BB217" s="25">
        <f t="shared" si="121"/>
        <v>0</v>
      </c>
      <c r="BC217" s="25">
        <f t="shared" si="122"/>
        <v>0</v>
      </c>
      <c r="BD217" s="25">
        <f t="shared" si="123"/>
        <v>0</v>
      </c>
      <c r="BE217" s="25">
        <f t="shared" si="124"/>
        <v>0</v>
      </c>
      <c r="BF217" s="25">
        <f t="shared" si="125"/>
        <v>0</v>
      </c>
    </row>
    <row r="218" spans="1:58" s="25" customFormat="1" ht="15" customHeight="1" x14ac:dyDescent="0.25">
      <c r="A218" s="38" t="s">
        <v>294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95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>
        <v>16</v>
      </c>
      <c r="U218" s="23"/>
      <c r="V218" s="23"/>
      <c r="W218" s="23"/>
      <c r="X218" s="43"/>
      <c r="Y218" s="23"/>
      <c r="Z218" s="23"/>
      <c r="AA218" s="23"/>
      <c r="AB218" s="24">
        <f t="shared" si="96"/>
        <v>0</v>
      </c>
      <c r="AC218" s="24">
        <f t="shared" si="97"/>
        <v>0</v>
      </c>
      <c r="AD218" s="25">
        <v>21.6</v>
      </c>
      <c r="AE218" s="25">
        <f t="shared" si="98"/>
        <v>0</v>
      </c>
      <c r="AF218" s="25">
        <f t="shared" si="99"/>
        <v>0</v>
      </c>
      <c r="AG218" s="25">
        <f t="shared" si="100"/>
        <v>0</v>
      </c>
      <c r="AH218" s="25">
        <f t="shared" si="101"/>
        <v>0</v>
      </c>
      <c r="AI218" s="25">
        <f t="shared" si="102"/>
        <v>0</v>
      </c>
      <c r="AJ218" s="25">
        <f t="shared" si="103"/>
        <v>0</v>
      </c>
      <c r="AK218" s="25">
        <f t="shared" si="104"/>
        <v>0</v>
      </c>
      <c r="AL218" s="25">
        <f t="shared" si="105"/>
        <v>0</v>
      </c>
      <c r="AM218" s="25">
        <f t="shared" si="106"/>
        <v>0</v>
      </c>
      <c r="AN218" s="25">
        <f t="shared" si="107"/>
        <v>0</v>
      </c>
      <c r="AO218" s="25">
        <f t="shared" si="108"/>
        <v>0</v>
      </c>
      <c r="AP218" s="25">
        <f t="shared" si="109"/>
        <v>0</v>
      </c>
      <c r="AQ218" s="25">
        <f t="shared" si="110"/>
        <v>0</v>
      </c>
      <c r="AR218" s="25">
        <f t="shared" si="111"/>
        <v>0</v>
      </c>
      <c r="AS218" s="25">
        <f t="shared" si="112"/>
        <v>0</v>
      </c>
      <c r="AT218" s="25">
        <f t="shared" si="113"/>
        <v>0</v>
      </c>
      <c r="AU218" s="25">
        <f t="shared" si="114"/>
        <v>0</v>
      </c>
      <c r="AV218" s="25">
        <f t="shared" si="115"/>
        <v>0</v>
      </c>
      <c r="AW218" s="25">
        <f t="shared" si="116"/>
        <v>345.6</v>
      </c>
      <c r="AX218" s="25">
        <f t="shared" si="117"/>
        <v>0</v>
      </c>
      <c r="AY218" s="25">
        <f t="shared" si="118"/>
        <v>0</v>
      </c>
      <c r="AZ218" s="25">
        <f t="shared" si="119"/>
        <v>0</v>
      </c>
      <c r="BA218" s="25">
        <f t="shared" si="120"/>
        <v>0</v>
      </c>
      <c r="BB218" s="25">
        <f t="shared" si="121"/>
        <v>0</v>
      </c>
      <c r="BC218" s="25">
        <f t="shared" si="122"/>
        <v>0</v>
      </c>
      <c r="BD218" s="25">
        <f t="shared" si="123"/>
        <v>0</v>
      </c>
      <c r="BE218" s="25">
        <f t="shared" si="124"/>
        <v>0</v>
      </c>
      <c r="BF218" s="25">
        <f t="shared" si="125"/>
        <v>0</v>
      </c>
    </row>
    <row r="219" spans="1:58" s="25" customFormat="1" ht="15" customHeight="1" x14ac:dyDescent="0.25">
      <c r="A219" s="38" t="s">
        <v>295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95"/>
        <v>90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43"/>
      <c r="Y219" s="23"/>
      <c r="Z219" s="23"/>
      <c r="AA219" s="23"/>
      <c r="AB219" s="24">
        <f t="shared" si="96"/>
        <v>0</v>
      </c>
      <c r="AC219" s="24">
        <f t="shared" si="97"/>
        <v>90</v>
      </c>
      <c r="AD219" s="25">
        <v>0.9</v>
      </c>
      <c r="AE219" s="25">
        <f t="shared" si="98"/>
        <v>81</v>
      </c>
      <c r="AF219" s="25">
        <f t="shared" si="99"/>
        <v>16.2</v>
      </c>
      <c r="AG219" s="25">
        <f t="shared" si="100"/>
        <v>0</v>
      </c>
      <c r="AH219" s="25">
        <f t="shared" si="101"/>
        <v>0</v>
      </c>
      <c r="AI219" s="25">
        <f t="shared" si="102"/>
        <v>27</v>
      </c>
      <c r="AJ219" s="25">
        <f t="shared" si="103"/>
        <v>0</v>
      </c>
      <c r="AK219" s="25">
        <f t="shared" si="104"/>
        <v>0</v>
      </c>
      <c r="AL219" s="25">
        <f t="shared" si="105"/>
        <v>0</v>
      </c>
      <c r="AM219" s="25">
        <f t="shared" si="106"/>
        <v>81</v>
      </c>
      <c r="AN219" s="25">
        <f t="shared" si="107"/>
        <v>0</v>
      </c>
      <c r="AO219" s="25">
        <f t="shared" si="108"/>
        <v>0</v>
      </c>
      <c r="AP219" s="25">
        <f t="shared" si="109"/>
        <v>0</v>
      </c>
      <c r="AQ219" s="25">
        <f t="shared" si="110"/>
        <v>0</v>
      </c>
      <c r="AR219" s="25">
        <f t="shared" si="111"/>
        <v>0</v>
      </c>
      <c r="AS219" s="25">
        <f t="shared" si="112"/>
        <v>0</v>
      </c>
      <c r="AT219" s="25">
        <f t="shared" si="113"/>
        <v>0</v>
      </c>
      <c r="AU219" s="25">
        <f t="shared" si="114"/>
        <v>0</v>
      </c>
      <c r="AV219" s="25">
        <f t="shared" si="115"/>
        <v>0</v>
      </c>
      <c r="AW219" s="25">
        <f t="shared" si="116"/>
        <v>0</v>
      </c>
      <c r="AX219" s="25">
        <f t="shared" si="117"/>
        <v>0</v>
      </c>
      <c r="AY219" s="25">
        <f t="shared" si="118"/>
        <v>0</v>
      </c>
      <c r="AZ219" s="25">
        <f t="shared" si="119"/>
        <v>0</v>
      </c>
      <c r="BA219" s="25">
        <f t="shared" si="120"/>
        <v>0</v>
      </c>
      <c r="BB219" s="25">
        <f t="shared" si="121"/>
        <v>0</v>
      </c>
      <c r="BC219" s="25">
        <f t="shared" si="122"/>
        <v>0</v>
      </c>
      <c r="BD219" s="25">
        <f t="shared" si="123"/>
        <v>0</v>
      </c>
      <c r="BE219" s="25">
        <f t="shared" si="124"/>
        <v>0</v>
      </c>
      <c r="BF219" s="25">
        <f t="shared" si="125"/>
        <v>81</v>
      </c>
    </row>
    <row r="220" spans="1:58" s="25" customFormat="1" ht="15" customHeight="1" x14ac:dyDescent="0.25">
      <c r="A220" s="38" t="s">
        <v>296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95"/>
        <v>3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>
        <v>3</v>
      </c>
      <c r="X220" s="43"/>
      <c r="Y220" s="23"/>
      <c r="Z220" s="23"/>
      <c r="AA220" s="23"/>
      <c r="AB220" s="24">
        <f t="shared" si="96"/>
        <v>0</v>
      </c>
      <c r="AC220" s="24">
        <f t="shared" si="97"/>
        <v>3</v>
      </c>
      <c r="AD220" s="25">
        <v>1.8</v>
      </c>
      <c r="AE220" s="25">
        <f t="shared" si="98"/>
        <v>5.4</v>
      </c>
      <c r="AF220" s="25">
        <f t="shared" si="99"/>
        <v>82.8</v>
      </c>
      <c r="AG220" s="25">
        <f t="shared" si="100"/>
        <v>0</v>
      </c>
      <c r="AH220" s="25">
        <f t="shared" si="101"/>
        <v>0</v>
      </c>
      <c r="AI220" s="25">
        <f t="shared" si="102"/>
        <v>0</v>
      </c>
      <c r="AJ220" s="25">
        <f t="shared" si="103"/>
        <v>0</v>
      </c>
      <c r="AK220" s="25">
        <f t="shared" si="104"/>
        <v>0</v>
      </c>
      <c r="AL220" s="25">
        <f t="shared" si="105"/>
        <v>0</v>
      </c>
      <c r="AM220" s="25">
        <f t="shared" si="106"/>
        <v>5.4</v>
      </c>
      <c r="AN220" s="25">
        <f t="shared" si="107"/>
        <v>0</v>
      </c>
      <c r="AO220" s="25">
        <f t="shared" si="108"/>
        <v>0</v>
      </c>
      <c r="AP220" s="25">
        <f t="shared" si="109"/>
        <v>0</v>
      </c>
      <c r="AQ220" s="25">
        <f t="shared" si="110"/>
        <v>0</v>
      </c>
      <c r="AR220" s="25">
        <f t="shared" si="111"/>
        <v>0</v>
      </c>
      <c r="AS220" s="25">
        <f t="shared" si="112"/>
        <v>0</v>
      </c>
      <c r="AT220" s="25">
        <f t="shared" si="113"/>
        <v>0</v>
      </c>
      <c r="AU220" s="25">
        <f t="shared" si="114"/>
        <v>0</v>
      </c>
      <c r="AV220" s="25">
        <f t="shared" si="115"/>
        <v>0</v>
      </c>
      <c r="AW220" s="25">
        <f t="shared" si="116"/>
        <v>0</v>
      </c>
      <c r="AX220" s="25">
        <f t="shared" si="117"/>
        <v>0</v>
      </c>
      <c r="AY220" s="25">
        <f t="shared" si="118"/>
        <v>0</v>
      </c>
      <c r="AZ220" s="25">
        <f t="shared" si="119"/>
        <v>5.4</v>
      </c>
      <c r="BA220" s="25">
        <f t="shared" si="120"/>
        <v>0</v>
      </c>
      <c r="BB220" s="25">
        <f t="shared" si="121"/>
        <v>0</v>
      </c>
      <c r="BC220" s="25">
        <f t="shared" si="122"/>
        <v>0</v>
      </c>
      <c r="BD220" s="25">
        <f t="shared" si="123"/>
        <v>0</v>
      </c>
      <c r="BE220" s="25">
        <f t="shared" si="124"/>
        <v>0</v>
      </c>
      <c r="BF220" s="25">
        <f t="shared" si="125"/>
        <v>5.4</v>
      </c>
    </row>
    <row r="221" spans="1:58" s="25" customFormat="1" ht="15" customHeight="1" x14ac:dyDescent="0.25">
      <c r="A221" s="38" t="s">
        <v>297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95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>
        <v>6</v>
      </c>
      <c r="X221" s="43"/>
      <c r="Y221" s="23"/>
      <c r="Z221" s="23"/>
      <c r="AA221" s="23"/>
      <c r="AB221" s="24">
        <f t="shared" si="96"/>
        <v>0</v>
      </c>
      <c r="AC221" s="24">
        <f t="shared" si="97"/>
        <v>18</v>
      </c>
      <c r="AD221" s="25">
        <v>2.7</v>
      </c>
      <c r="AE221" s="25">
        <f t="shared" si="98"/>
        <v>48.6</v>
      </c>
      <c r="AF221" s="25">
        <f t="shared" si="99"/>
        <v>0</v>
      </c>
      <c r="AG221" s="25">
        <f t="shared" si="100"/>
        <v>0</v>
      </c>
      <c r="AH221" s="25">
        <f t="shared" si="101"/>
        <v>0</v>
      </c>
      <c r="AI221" s="25">
        <f t="shared" si="102"/>
        <v>0</v>
      </c>
      <c r="AJ221" s="25">
        <f t="shared" si="103"/>
        <v>0</v>
      </c>
      <c r="AK221" s="25">
        <f t="shared" si="104"/>
        <v>0</v>
      </c>
      <c r="AL221" s="25">
        <f t="shared" si="105"/>
        <v>0</v>
      </c>
      <c r="AM221" s="25">
        <f t="shared" si="106"/>
        <v>48.6</v>
      </c>
      <c r="AN221" s="25">
        <f t="shared" si="107"/>
        <v>0</v>
      </c>
      <c r="AO221" s="25">
        <f t="shared" si="108"/>
        <v>0</v>
      </c>
      <c r="AP221" s="25">
        <f t="shared" si="109"/>
        <v>0</v>
      </c>
      <c r="AQ221" s="25">
        <f t="shared" si="110"/>
        <v>0</v>
      </c>
      <c r="AR221" s="25">
        <f t="shared" si="111"/>
        <v>0</v>
      </c>
      <c r="AS221" s="25">
        <f t="shared" si="112"/>
        <v>0</v>
      </c>
      <c r="AT221" s="25">
        <f t="shared" si="113"/>
        <v>0</v>
      </c>
      <c r="AU221" s="25">
        <f t="shared" si="114"/>
        <v>0</v>
      </c>
      <c r="AV221" s="25">
        <f t="shared" si="115"/>
        <v>0</v>
      </c>
      <c r="AW221" s="25">
        <f t="shared" si="116"/>
        <v>0</v>
      </c>
      <c r="AX221" s="25">
        <f t="shared" si="117"/>
        <v>0</v>
      </c>
      <c r="AY221" s="25">
        <f t="shared" si="118"/>
        <v>0</v>
      </c>
      <c r="AZ221" s="25">
        <f t="shared" si="119"/>
        <v>16.200000000000003</v>
      </c>
      <c r="BA221" s="25">
        <f t="shared" si="120"/>
        <v>0</v>
      </c>
      <c r="BB221" s="25">
        <f t="shared" si="121"/>
        <v>0</v>
      </c>
      <c r="BC221" s="25">
        <f t="shared" si="122"/>
        <v>0</v>
      </c>
      <c r="BD221" s="25">
        <f t="shared" si="123"/>
        <v>0</v>
      </c>
      <c r="BE221" s="25">
        <f t="shared" si="124"/>
        <v>0</v>
      </c>
      <c r="BF221" s="25">
        <f t="shared" si="125"/>
        <v>48.6</v>
      </c>
    </row>
    <row r="222" spans="1:58" s="25" customFormat="1" ht="15" customHeight="1" x14ac:dyDescent="0.25">
      <c r="A222" s="38" t="s">
        <v>298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95"/>
        <v>39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43"/>
      <c r="Y222" s="23">
        <v>3</v>
      </c>
      <c r="Z222" s="23"/>
      <c r="AA222" s="23"/>
      <c r="AB222" s="24">
        <f t="shared" si="96"/>
        <v>0</v>
      </c>
      <c r="AC222" s="24">
        <f t="shared" si="97"/>
        <v>39</v>
      </c>
      <c r="AD222" s="25">
        <v>3.6</v>
      </c>
      <c r="AE222" s="25">
        <f t="shared" si="98"/>
        <v>140.4</v>
      </c>
      <c r="AF222" s="25">
        <f t="shared" si="99"/>
        <v>122.4</v>
      </c>
      <c r="AG222" s="25">
        <f t="shared" si="100"/>
        <v>0</v>
      </c>
      <c r="AH222" s="25">
        <f t="shared" si="101"/>
        <v>0</v>
      </c>
      <c r="AI222" s="25">
        <f t="shared" si="102"/>
        <v>0</v>
      </c>
      <c r="AJ222" s="25">
        <f t="shared" si="103"/>
        <v>0</v>
      </c>
      <c r="AK222" s="25">
        <f t="shared" si="104"/>
        <v>0</v>
      </c>
      <c r="AL222" s="25">
        <f t="shared" si="105"/>
        <v>0</v>
      </c>
      <c r="AM222" s="25">
        <f t="shared" si="106"/>
        <v>140.4</v>
      </c>
      <c r="AN222" s="25">
        <f t="shared" si="107"/>
        <v>0</v>
      </c>
      <c r="AO222" s="25">
        <f t="shared" si="108"/>
        <v>0</v>
      </c>
      <c r="AP222" s="25">
        <f t="shared" si="109"/>
        <v>0</v>
      </c>
      <c r="AQ222" s="25">
        <f t="shared" si="110"/>
        <v>0</v>
      </c>
      <c r="AR222" s="25">
        <f t="shared" si="111"/>
        <v>10.8</v>
      </c>
      <c r="AS222" s="25">
        <f t="shared" si="112"/>
        <v>0</v>
      </c>
      <c r="AT222" s="25">
        <f t="shared" si="113"/>
        <v>0</v>
      </c>
      <c r="AU222" s="25">
        <f t="shared" si="114"/>
        <v>0</v>
      </c>
      <c r="AV222" s="25">
        <f t="shared" si="115"/>
        <v>0</v>
      </c>
      <c r="AW222" s="25">
        <f t="shared" si="116"/>
        <v>0</v>
      </c>
      <c r="AX222" s="25">
        <f t="shared" si="117"/>
        <v>0</v>
      </c>
      <c r="AY222" s="25">
        <f t="shared" si="118"/>
        <v>0</v>
      </c>
      <c r="AZ222" s="25">
        <f t="shared" si="119"/>
        <v>0</v>
      </c>
      <c r="BA222" s="25">
        <f t="shared" si="120"/>
        <v>0</v>
      </c>
      <c r="BB222" s="25">
        <f t="shared" si="121"/>
        <v>10.8</v>
      </c>
      <c r="BC222" s="25">
        <f t="shared" si="122"/>
        <v>0</v>
      </c>
      <c r="BD222" s="25">
        <f t="shared" si="123"/>
        <v>0</v>
      </c>
      <c r="BE222" s="25">
        <f t="shared" si="124"/>
        <v>0</v>
      </c>
      <c r="BF222" s="25">
        <f t="shared" si="125"/>
        <v>140.4</v>
      </c>
    </row>
    <row r="223" spans="1:58" s="25" customFormat="1" ht="15" customHeight="1" x14ac:dyDescent="0.25">
      <c r="A223" s="38" t="s">
        <v>299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95"/>
        <v>11</v>
      </c>
      <c r="K223" s="21"/>
      <c r="L223" s="23"/>
      <c r="M223" s="23"/>
      <c r="N223" s="43"/>
      <c r="O223" s="43">
        <v>1</v>
      </c>
      <c r="P223" s="23"/>
      <c r="Q223" s="23"/>
      <c r="R223" s="23"/>
      <c r="S223" s="23"/>
      <c r="T223" s="23"/>
      <c r="U223" s="23"/>
      <c r="V223" s="23"/>
      <c r="W223" s="23"/>
      <c r="X223" s="43"/>
      <c r="Y223" s="23">
        <v>34</v>
      </c>
      <c r="Z223" s="23"/>
      <c r="AA223" s="23"/>
      <c r="AB223" s="24">
        <f t="shared" si="96"/>
        <v>0</v>
      </c>
      <c r="AC223" s="24">
        <f t="shared" si="97"/>
        <v>11</v>
      </c>
      <c r="AD223" s="25">
        <v>4.5</v>
      </c>
      <c r="AE223" s="25">
        <f t="shared" si="98"/>
        <v>49.5</v>
      </c>
      <c r="AF223" s="25">
        <f t="shared" si="99"/>
        <v>454.5</v>
      </c>
      <c r="AG223" s="25">
        <f t="shared" si="100"/>
        <v>0</v>
      </c>
      <c r="AH223" s="25">
        <f t="shared" si="101"/>
        <v>0</v>
      </c>
      <c r="AI223" s="25">
        <f t="shared" si="102"/>
        <v>0</v>
      </c>
      <c r="AJ223" s="25">
        <f t="shared" si="103"/>
        <v>0</v>
      </c>
      <c r="AK223" s="25">
        <f t="shared" si="104"/>
        <v>0</v>
      </c>
      <c r="AL223" s="25">
        <f t="shared" si="105"/>
        <v>0</v>
      </c>
      <c r="AM223" s="25">
        <f t="shared" si="106"/>
        <v>49.5</v>
      </c>
      <c r="AN223" s="25">
        <f t="shared" si="107"/>
        <v>0</v>
      </c>
      <c r="AO223" s="25">
        <f t="shared" si="108"/>
        <v>0</v>
      </c>
      <c r="AP223" s="25">
        <f t="shared" si="109"/>
        <v>0</v>
      </c>
      <c r="AQ223" s="25">
        <f t="shared" si="110"/>
        <v>0</v>
      </c>
      <c r="AR223" s="25">
        <f t="shared" si="111"/>
        <v>4.5</v>
      </c>
      <c r="AS223" s="25">
        <f t="shared" si="112"/>
        <v>0</v>
      </c>
      <c r="AT223" s="25">
        <f t="shared" si="113"/>
        <v>0</v>
      </c>
      <c r="AU223" s="25">
        <f t="shared" si="114"/>
        <v>0</v>
      </c>
      <c r="AV223" s="25">
        <f t="shared" si="115"/>
        <v>0</v>
      </c>
      <c r="AW223" s="25">
        <f t="shared" si="116"/>
        <v>0</v>
      </c>
      <c r="AX223" s="25">
        <f t="shared" si="117"/>
        <v>0</v>
      </c>
      <c r="AY223" s="25">
        <f t="shared" si="118"/>
        <v>0</v>
      </c>
      <c r="AZ223" s="25">
        <f t="shared" si="119"/>
        <v>0</v>
      </c>
      <c r="BA223" s="25">
        <f t="shared" si="120"/>
        <v>0</v>
      </c>
      <c r="BB223" s="25">
        <f t="shared" si="121"/>
        <v>153</v>
      </c>
      <c r="BC223" s="25">
        <f t="shared" si="122"/>
        <v>0</v>
      </c>
      <c r="BD223" s="25">
        <f t="shared" si="123"/>
        <v>0</v>
      </c>
      <c r="BE223" s="25">
        <f t="shared" si="124"/>
        <v>0</v>
      </c>
      <c r="BF223" s="25">
        <f t="shared" si="125"/>
        <v>49.5</v>
      </c>
    </row>
    <row r="224" spans="1:58" s="25" customFormat="1" ht="15" customHeight="1" x14ac:dyDescent="0.25">
      <c r="A224" s="38" t="s">
        <v>300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95"/>
        <v>30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>
        <v>3</v>
      </c>
      <c r="X224" s="43"/>
      <c r="Y224" s="23">
        <v>32</v>
      </c>
      <c r="Z224" s="23"/>
      <c r="AA224" s="23"/>
      <c r="AB224" s="24">
        <f t="shared" si="96"/>
        <v>0</v>
      </c>
      <c r="AC224" s="24">
        <f t="shared" si="97"/>
        <v>30</v>
      </c>
      <c r="AD224" s="25">
        <v>5.4</v>
      </c>
      <c r="AE224" s="25">
        <f t="shared" si="98"/>
        <v>162</v>
      </c>
      <c r="AF224" s="25">
        <f t="shared" si="99"/>
        <v>837</v>
      </c>
      <c r="AG224" s="25">
        <f t="shared" si="100"/>
        <v>0</v>
      </c>
      <c r="AH224" s="25">
        <f t="shared" si="101"/>
        <v>0</v>
      </c>
      <c r="AI224" s="25">
        <f t="shared" si="102"/>
        <v>0</v>
      </c>
      <c r="AJ224" s="25">
        <f t="shared" si="103"/>
        <v>0</v>
      </c>
      <c r="AK224" s="25">
        <f t="shared" si="104"/>
        <v>0</v>
      </c>
      <c r="AL224" s="25">
        <f t="shared" si="105"/>
        <v>0</v>
      </c>
      <c r="AM224" s="25">
        <f t="shared" si="106"/>
        <v>162</v>
      </c>
      <c r="AN224" s="25">
        <f t="shared" si="107"/>
        <v>0</v>
      </c>
      <c r="AO224" s="25">
        <f t="shared" si="108"/>
        <v>0</v>
      </c>
      <c r="AP224" s="25">
        <f t="shared" si="109"/>
        <v>0</v>
      </c>
      <c r="AQ224" s="25">
        <f t="shared" si="110"/>
        <v>0</v>
      </c>
      <c r="AR224" s="25">
        <f t="shared" si="111"/>
        <v>10.8</v>
      </c>
      <c r="AS224" s="25">
        <f t="shared" si="112"/>
        <v>0</v>
      </c>
      <c r="AT224" s="25">
        <f t="shared" si="113"/>
        <v>0</v>
      </c>
      <c r="AU224" s="25">
        <f t="shared" si="114"/>
        <v>0</v>
      </c>
      <c r="AV224" s="25">
        <f t="shared" si="115"/>
        <v>0</v>
      </c>
      <c r="AW224" s="25">
        <f t="shared" si="116"/>
        <v>0</v>
      </c>
      <c r="AX224" s="25">
        <f t="shared" si="117"/>
        <v>0</v>
      </c>
      <c r="AY224" s="25">
        <f t="shared" si="118"/>
        <v>0</v>
      </c>
      <c r="AZ224" s="25">
        <f t="shared" si="119"/>
        <v>16.200000000000003</v>
      </c>
      <c r="BA224" s="25">
        <f t="shared" si="120"/>
        <v>0</v>
      </c>
      <c r="BB224" s="25">
        <f t="shared" si="121"/>
        <v>172.8</v>
      </c>
      <c r="BC224" s="25">
        <f t="shared" si="122"/>
        <v>0</v>
      </c>
      <c r="BD224" s="25">
        <f t="shared" si="123"/>
        <v>0</v>
      </c>
      <c r="BE224" s="25">
        <f t="shared" si="124"/>
        <v>0</v>
      </c>
      <c r="BF224" s="25">
        <f t="shared" si="125"/>
        <v>162</v>
      </c>
    </row>
    <row r="225" spans="1:58" s="25" customFormat="1" ht="15" customHeight="1" x14ac:dyDescent="0.25">
      <c r="A225" s="38" t="s">
        <v>301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95"/>
        <v>48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43">
        <v>16</v>
      </c>
      <c r="Y225" s="23">
        <v>11</v>
      </c>
      <c r="Z225" s="23"/>
      <c r="AA225" s="23"/>
      <c r="AB225" s="24">
        <f t="shared" si="96"/>
        <v>0</v>
      </c>
      <c r="AC225" s="24">
        <f t="shared" si="97"/>
        <v>48</v>
      </c>
      <c r="AD225" s="25">
        <v>6.3</v>
      </c>
      <c r="AE225" s="25">
        <f t="shared" si="98"/>
        <v>302.39999999999998</v>
      </c>
      <c r="AF225" s="25">
        <f t="shared" si="99"/>
        <v>327.59999999999997</v>
      </c>
      <c r="AG225" s="25">
        <f t="shared" si="100"/>
        <v>0</v>
      </c>
      <c r="AH225" s="25">
        <f t="shared" si="101"/>
        <v>0</v>
      </c>
      <c r="AI225" s="25">
        <f t="shared" si="102"/>
        <v>201.6</v>
      </c>
      <c r="AJ225" s="25">
        <f t="shared" si="103"/>
        <v>0</v>
      </c>
      <c r="AK225" s="25">
        <f t="shared" si="104"/>
        <v>0</v>
      </c>
      <c r="AL225" s="25">
        <f t="shared" si="105"/>
        <v>31.5</v>
      </c>
      <c r="AM225" s="25">
        <f t="shared" si="106"/>
        <v>302.39999999999998</v>
      </c>
      <c r="AN225" s="25">
        <f t="shared" si="107"/>
        <v>0</v>
      </c>
      <c r="AO225" s="25">
        <f t="shared" si="108"/>
        <v>0</v>
      </c>
      <c r="AP225" s="25">
        <f t="shared" si="109"/>
        <v>0</v>
      </c>
      <c r="AQ225" s="25">
        <f t="shared" si="110"/>
        <v>0</v>
      </c>
      <c r="AR225" s="25">
        <f t="shared" si="111"/>
        <v>0</v>
      </c>
      <c r="AS225" s="25">
        <f t="shared" si="112"/>
        <v>0</v>
      </c>
      <c r="AT225" s="25">
        <f t="shared" si="113"/>
        <v>0</v>
      </c>
      <c r="AU225" s="25">
        <f t="shared" si="114"/>
        <v>0</v>
      </c>
      <c r="AV225" s="25">
        <f t="shared" si="115"/>
        <v>0</v>
      </c>
      <c r="AW225" s="25">
        <f t="shared" si="116"/>
        <v>0</v>
      </c>
      <c r="AX225" s="25">
        <f t="shared" si="117"/>
        <v>0</v>
      </c>
      <c r="AY225" s="25">
        <f t="shared" si="118"/>
        <v>0</v>
      </c>
      <c r="AZ225" s="25">
        <f t="shared" si="119"/>
        <v>0</v>
      </c>
      <c r="BA225" s="25">
        <f t="shared" si="120"/>
        <v>100.8</v>
      </c>
      <c r="BB225" s="25">
        <f t="shared" si="121"/>
        <v>69.3</v>
      </c>
      <c r="BC225" s="25">
        <f t="shared" si="122"/>
        <v>0</v>
      </c>
      <c r="BD225" s="25">
        <f t="shared" si="123"/>
        <v>0</v>
      </c>
      <c r="BE225" s="25">
        <f t="shared" si="124"/>
        <v>0</v>
      </c>
      <c r="BF225" s="25">
        <f t="shared" si="125"/>
        <v>302.39999999999998</v>
      </c>
    </row>
    <row r="226" spans="1:58" s="25" customFormat="1" ht="15" customHeight="1" x14ac:dyDescent="0.25">
      <c r="A226" s="38" t="s">
        <v>302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95"/>
        <v>73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43"/>
      <c r="Y226" s="23">
        <v>2</v>
      </c>
      <c r="Z226" s="23"/>
      <c r="AA226" s="23"/>
      <c r="AB226" s="24">
        <f t="shared" si="96"/>
        <v>0</v>
      </c>
      <c r="AC226" s="24">
        <f t="shared" si="97"/>
        <v>73</v>
      </c>
      <c r="AD226" s="25">
        <v>7.2</v>
      </c>
      <c r="AE226" s="25">
        <f t="shared" si="98"/>
        <v>525.6</v>
      </c>
      <c r="AF226" s="25">
        <f t="shared" si="99"/>
        <v>93.600000000000009</v>
      </c>
      <c r="AG226" s="25">
        <f t="shared" si="100"/>
        <v>0</v>
      </c>
      <c r="AH226" s="25">
        <f t="shared" si="101"/>
        <v>0</v>
      </c>
      <c r="AI226" s="25">
        <f t="shared" si="102"/>
        <v>0</v>
      </c>
      <c r="AJ226" s="25">
        <f t="shared" si="103"/>
        <v>0</v>
      </c>
      <c r="AK226" s="25">
        <f t="shared" si="104"/>
        <v>0</v>
      </c>
      <c r="AL226" s="25">
        <f t="shared" si="105"/>
        <v>0</v>
      </c>
      <c r="AM226" s="25">
        <f t="shared" si="106"/>
        <v>525.6</v>
      </c>
      <c r="AN226" s="25">
        <f t="shared" si="107"/>
        <v>0</v>
      </c>
      <c r="AO226" s="25">
        <f t="shared" si="108"/>
        <v>0</v>
      </c>
      <c r="AP226" s="25">
        <f t="shared" si="109"/>
        <v>0</v>
      </c>
      <c r="AQ226" s="25">
        <f t="shared" si="110"/>
        <v>0</v>
      </c>
      <c r="AR226" s="25">
        <f t="shared" si="111"/>
        <v>0</v>
      </c>
      <c r="AS226" s="25">
        <f t="shared" si="112"/>
        <v>0</v>
      </c>
      <c r="AT226" s="25">
        <f t="shared" si="113"/>
        <v>0</v>
      </c>
      <c r="AU226" s="25">
        <f t="shared" si="114"/>
        <v>0</v>
      </c>
      <c r="AV226" s="25">
        <f t="shared" si="115"/>
        <v>0</v>
      </c>
      <c r="AW226" s="25">
        <f t="shared" si="116"/>
        <v>0</v>
      </c>
      <c r="AX226" s="25">
        <f t="shared" si="117"/>
        <v>0</v>
      </c>
      <c r="AY226" s="25">
        <f t="shared" si="118"/>
        <v>0</v>
      </c>
      <c r="AZ226" s="25">
        <f t="shared" si="119"/>
        <v>0</v>
      </c>
      <c r="BA226" s="25">
        <f t="shared" si="120"/>
        <v>0</v>
      </c>
      <c r="BB226" s="25">
        <f t="shared" si="121"/>
        <v>14.4</v>
      </c>
      <c r="BC226" s="25">
        <f t="shared" si="122"/>
        <v>0</v>
      </c>
      <c r="BD226" s="25">
        <f t="shared" si="123"/>
        <v>0</v>
      </c>
      <c r="BE226" s="25">
        <f t="shared" si="124"/>
        <v>0</v>
      </c>
      <c r="BF226" s="25">
        <f t="shared" si="125"/>
        <v>525.6</v>
      </c>
    </row>
    <row r="227" spans="1:58" s="25" customFormat="1" ht="15" customHeight="1" x14ac:dyDescent="0.25">
      <c r="A227" s="38" t="s">
        <v>303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95"/>
        <v>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43"/>
      <c r="Y227" s="23"/>
      <c r="Z227" s="23"/>
      <c r="AA227" s="23"/>
      <c r="AB227" s="24">
        <f t="shared" si="96"/>
        <v>0</v>
      </c>
      <c r="AC227" s="24">
        <f t="shared" si="97"/>
        <v>5</v>
      </c>
      <c r="AD227" s="25">
        <v>8.1</v>
      </c>
      <c r="AE227" s="25">
        <f t="shared" si="98"/>
        <v>40.5</v>
      </c>
      <c r="AF227" s="25">
        <f t="shared" si="99"/>
        <v>81</v>
      </c>
      <c r="AG227" s="25">
        <f t="shared" si="100"/>
        <v>0</v>
      </c>
      <c r="AH227" s="25">
        <f t="shared" si="101"/>
        <v>0</v>
      </c>
      <c r="AI227" s="25">
        <f t="shared" si="102"/>
        <v>0</v>
      </c>
      <c r="AJ227" s="25">
        <f t="shared" si="103"/>
        <v>0</v>
      </c>
      <c r="AK227" s="25">
        <f t="shared" si="104"/>
        <v>0</v>
      </c>
      <c r="AL227" s="25">
        <f t="shared" si="105"/>
        <v>0</v>
      </c>
      <c r="AM227" s="25">
        <f t="shared" si="106"/>
        <v>40.5</v>
      </c>
      <c r="AN227" s="25">
        <f t="shared" si="107"/>
        <v>0</v>
      </c>
      <c r="AO227" s="25">
        <f t="shared" si="108"/>
        <v>0</v>
      </c>
      <c r="AP227" s="25">
        <f t="shared" si="109"/>
        <v>0</v>
      </c>
      <c r="AQ227" s="25">
        <f t="shared" si="110"/>
        <v>0</v>
      </c>
      <c r="AR227" s="25">
        <f t="shared" si="111"/>
        <v>40.5</v>
      </c>
      <c r="AS227" s="25">
        <f t="shared" si="112"/>
        <v>0</v>
      </c>
      <c r="AT227" s="25">
        <f t="shared" si="113"/>
        <v>0</v>
      </c>
      <c r="AU227" s="25">
        <f t="shared" si="114"/>
        <v>0</v>
      </c>
      <c r="AV227" s="25">
        <f t="shared" si="115"/>
        <v>0</v>
      </c>
      <c r="AW227" s="25">
        <f t="shared" si="116"/>
        <v>0</v>
      </c>
      <c r="AX227" s="25">
        <f t="shared" si="117"/>
        <v>0</v>
      </c>
      <c r="AY227" s="25">
        <f t="shared" si="118"/>
        <v>0</v>
      </c>
      <c r="AZ227" s="25">
        <f t="shared" si="119"/>
        <v>0</v>
      </c>
      <c r="BA227" s="25">
        <f t="shared" si="120"/>
        <v>0</v>
      </c>
      <c r="BB227" s="25">
        <f t="shared" si="121"/>
        <v>0</v>
      </c>
      <c r="BC227" s="25">
        <f t="shared" si="122"/>
        <v>0</v>
      </c>
      <c r="BD227" s="25">
        <f t="shared" si="123"/>
        <v>0</v>
      </c>
      <c r="BE227" s="25">
        <f t="shared" si="124"/>
        <v>0</v>
      </c>
      <c r="BF227" s="25">
        <f t="shared" si="125"/>
        <v>40.5</v>
      </c>
    </row>
    <row r="228" spans="1:58" s="25" customFormat="1" ht="15" customHeight="1" x14ac:dyDescent="0.25">
      <c r="A228" s="38" t="s">
        <v>304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95"/>
        <v>3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/>
      <c r="S228" s="23"/>
      <c r="T228" s="23"/>
      <c r="U228" s="23"/>
      <c r="V228" s="23"/>
      <c r="W228" s="23"/>
      <c r="X228" s="43"/>
      <c r="Y228" s="23"/>
      <c r="Z228" s="23"/>
      <c r="AA228" s="23"/>
      <c r="AB228" s="24">
        <f t="shared" si="96"/>
        <v>42</v>
      </c>
      <c r="AC228" s="24">
        <f t="shared" si="97"/>
        <v>-39</v>
      </c>
      <c r="AD228" s="25">
        <v>9</v>
      </c>
      <c r="AE228" s="25">
        <f t="shared" si="98"/>
        <v>27</v>
      </c>
      <c r="AF228" s="25">
        <f t="shared" si="99"/>
        <v>0</v>
      </c>
      <c r="AG228" s="25">
        <f t="shared" si="100"/>
        <v>0</v>
      </c>
      <c r="AH228" s="25">
        <f t="shared" si="101"/>
        <v>0</v>
      </c>
      <c r="AI228" s="25">
        <f t="shared" si="102"/>
        <v>0</v>
      </c>
      <c r="AJ228" s="25">
        <f t="shared" si="103"/>
        <v>0</v>
      </c>
      <c r="AK228" s="25">
        <f t="shared" si="104"/>
        <v>0</v>
      </c>
      <c r="AL228" s="25">
        <f t="shared" si="105"/>
        <v>126</v>
      </c>
      <c r="AM228" s="25">
        <f t="shared" si="106"/>
        <v>27</v>
      </c>
      <c r="AN228" s="25">
        <f t="shared" si="107"/>
        <v>0</v>
      </c>
      <c r="AO228" s="25">
        <f t="shared" si="108"/>
        <v>0</v>
      </c>
      <c r="AP228" s="25">
        <f t="shared" si="109"/>
        <v>378</v>
      </c>
      <c r="AQ228" s="25">
        <f t="shared" si="110"/>
        <v>0</v>
      </c>
      <c r="AR228" s="25">
        <f t="shared" si="111"/>
        <v>9</v>
      </c>
      <c r="AS228" s="25">
        <f t="shared" si="112"/>
        <v>0</v>
      </c>
      <c r="AT228" s="25">
        <f t="shared" si="113"/>
        <v>0</v>
      </c>
      <c r="AU228" s="25">
        <f t="shared" si="114"/>
        <v>0</v>
      </c>
      <c r="AV228" s="25">
        <f t="shared" si="115"/>
        <v>0</v>
      </c>
      <c r="AW228" s="25">
        <f t="shared" si="116"/>
        <v>0</v>
      </c>
      <c r="AX228" s="25">
        <f t="shared" si="117"/>
        <v>0</v>
      </c>
      <c r="AY228" s="25">
        <f t="shared" si="118"/>
        <v>0</v>
      </c>
      <c r="AZ228" s="25">
        <f t="shared" si="119"/>
        <v>0</v>
      </c>
      <c r="BA228" s="25">
        <f t="shared" si="120"/>
        <v>0</v>
      </c>
      <c r="BB228" s="25">
        <f t="shared" si="121"/>
        <v>0</v>
      </c>
      <c r="BC228" s="25">
        <f t="shared" si="122"/>
        <v>0</v>
      </c>
      <c r="BD228" s="25">
        <f t="shared" si="123"/>
        <v>0</v>
      </c>
      <c r="BE228" s="25">
        <f t="shared" si="124"/>
        <v>378</v>
      </c>
      <c r="BF228" s="25">
        <f t="shared" si="125"/>
        <v>-351</v>
      </c>
    </row>
    <row r="229" spans="1:58" s="25" customFormat="1" ht="15" customHeight="1" x14ac:dyDescent="0.25">
      <c r="A229" s="38" t="s">
        <v>305</v>
      </c>
      <c r="B229" s="38">
        <v>0</v>
      </c>
      <c r="C229" s="27">
        <v>26</v>
      </c>
      <c r="D229" s="27"/>
      <c r="E229" s="20">
        <v>49</v>
      </c>
      <c r="F229" s="20"/>
      <c r="G229" s="20">
        <v>91</v>
      </c>
      <c r="H229" s="20"/>
      <c r="I229" s="20"/>
      <c r="J229" s="20">
        <f t="shared" si="95"/>
        <v>49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>
        <v>3</v>
      </c>
      <c r="X229" s="43"/>
      <c r="Y229" s="23">
        <v>6</v>
      </c>
      <c r="Z229" s="23"/>
      <c r="AA229" s="23"/>
      <c r="AB229" s="24">
        <f t="shared" si="96"/>
        <v>0</v>
      </c>
      <c r="AC229" s="24">
        <f t="shared" si="97"/>
        <v>49</v>
      </c>
      <c r="AD229" s="25">
        <v>9.9</v>
      </c>
      <c r="AE229" s="25">
        <f t="shared" si="98"/>
        <v>0</v>
      </c>
      <c r="AF229" s="25">
        <f t="shared" si="99"/>
        <v>257.40000000000003</v>
      </c>
      <c r="AG229" s="25">
        <f t="shared" si="100"/>
        <v>0</v>
      </c>
      <c r="AH229" s="25">
        <f t="shared" si="101"/>
        <v>485.1</v>
      </c>
      <c r="AI229" s="25">
        <f t="shared" si="102"/>
        <v>0</v>
      </c>
      <c r="AJ229" s="25">
        <f t="shared" si="103"/>
        <v>900.9</v>
      </c>
      <c r="AK229" s="25">
        <f t="shared" si="104"/>
        <v>0</v>
      </c>
      <c r="AL229" s="25">
        <f t="shared" si="105"/>
        <v>0</v>
      </c>
      <c r="AM229" s="25">
        <f t="shared" si="106"/>
        <v>485.1</v>
      </c>
      <c r="AN229" s="25">
        <f t="shared" si="107"/>
        <v>0</v>
      </c>
      <c r="AO229" s="25">
        <f t="shared" si="108"/>
        <v>0</v>
      </c>
      <c r="AP229" s="25">
        <f t="shared" si="109"/>
        <v>0</v>
      </c>
      <c r="AQ229" s="25">
        <f t="shared" si="110"/>
        <v>0</v>
      </c>
      <c r="AR229" s="25">
        <f t="shared" si="111"/>
        <v>0</v>
      </c>
      <c r="AS229" s="25">
        <f t="shared" si="112"/>
        <v>0</v>
      </c>
      <c r="AT229" s="25">
        <f t="shared" si="113"/>
        <v>0</v>
      </c>
      <c r="AU229" s="25">
        <f t="shared" si="114"/>
        <v>0</v>
      </c>
      <c r="AV229" s="25">
        <f t="shared" si="115"/>
        <v>0</v>
      </c>
      <c r="AW229" s="25">
        <f t="shared" si="116"/>
        <v>0</v>
      </c>
      <c r="AX229" s="25">
        <f t="shared" si="117"/>
        <v>0</v>
      </c>
      <c r="AY229" s="25">
        <f t="shared" si="118"/>
        <v>0</v>
      </c>
      <c r="AZ229" s="25">
        <f t="shared" si="119"/>
        <v>29.700000000000003</v>
      </c>
      <c r="BA229" s="25">
        <f t="shared" si="120"/>
        <v>0</v>
      </c>
      <c r="BB229" s="25">
        <f t="shared" si="121"/>
        <v>59.400000000000006</v>
      </c>
      <c r="BC229" s="25">
        <f t="shared" si="122"/>
        <v>0</v>
      </c>
      <c r="BD229" s="25">
        <f t="shared" si="123"/>
        <v>0</v>
      </c>
      <c r="BE229" s="25">
        <f t="shared" si="124"/>
        <v>0</v>
      </c>
      <c r="BF229" s="25">
        <f t="shared" si="125"/>
        <v>485.1</v>
      </c>
    </row>
    <row r="230" spans="1:58" s="25" customFormat="1" ht="15" customHeight="1" x14ac:dyDescent="0.25">
      <c r="A230" s="38" t="s">
        <v>306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95"/>
        <v>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>
        <v>3</v>
      </c>
      <c r="X230" s="43"/>
      <c r="Y230" s="23"/>
      <c r="Z230" s="23"/>
      <c r="AA230" s="23"/>
      <c r="AB230" s="24">
        <f t="shared" si="96"/>
        <v>6</v>
      </c>
      <c r="AC230" s="24">
        <f t="shared" si="97"/>
        <v>-1</v>
      </c>
      <c r="AD230" s="25">
        <v>10.8</v>
      </c>
      <c r="AE230" s="25">
        <f t="shared" si="98"/>
        <v>54</v>
      </c>
      <c r="AF230" s="25">
        <f t="shared" si="99"/>
        <v>432</v>
      </c>
      <c r="AG230" s="25">
        <f t="shared" si="100"/>
        <v>0</v>
      </c>
      <c r="AH230" s="25">
        <f t="shared" si="101"/>
        <v>0</v>
      </c>
      <c r="AI230" s="25">
        <f t="shared" si="102"/>
        <v>0</v>
      </c>
      <c r="AJ230" s="25">
        <f t="shared" si="103"/>
        <v>0</v>
      </c>
      <c r="AK230" s="25">
        <f t="shared" si="104"/>
        <v>108</v>
      </c>
      <c r="AL230" s="25">
        <f t="shared" si="105"/>
        <v>0</v>
      </c>
      <c r="AM230" s="25">
        <f t="shared" si="106"/>
        <v>54</v>
      </c>
      <c r="AN230" s="25">
        <f t="shared" si="107"/>
        <v>0</v>
      </c>
      <c r="AO230" s="25">
        <f t="shared" si="108"/>
        <v>0</v>
      </c>
      <c r="AP230" s="25">
        <f t="shared" si="109"/>
        <v>64.800000000000011</v>
      </c>
      <c r="AQ230" s="25">
        <f t="shared" si="110"/>
        <v>0</v>
      </c>
      <c r="AR230" s="25">
        <f t="shared" si="111"/>
        <v>43.2</v>
      </c>
      <c r="AS230" s="25">
        <f t="shared" si="112"/>
        <v>0</v>
      </c>
      <c r="AT230" s="25">
        <f t="shared" si="113"/>
        <v>0</v>
      </c>
      <c r="AU230" s="25">
        <f t="shared" si="114"/>
        <v>0</v>
      </c>
      <c r="AV230" s="25">
        <f t="shared" si="115"/>
        <v>0</v>
      </c>
      <c r="AW230" s="25">
        <f t="shared" si="116"/>
        <v>0</v>
      </c>
      <c r="AX230" s="25">
        <f t="shared" si="117"/>
        <v>0</v>
      </c>
      <c r="AY230" s="25">
        <f t="shared" si="118"/>
        <v>0</v>
      </c>
      <c r="AZ230" s="25">
        <f t="shared" si="119"/>
        <v>32.400000000000006</v>
      </c>
      <c r="BA230" s="25">
        <f t="shared" si="120"/>
        <v>0</v>
      </c>
      <c r="BB230" s="25">
        <f t="shared" si="121"/>
        <v>0</v>
      </c>
      <c r="BC230" s="25">
        <f t="shared" si="122"/>
        <v>0</v>
      </c>
      <c r="BD230" s="25">
        <f t="shared" si="123"/>
        <v>0</v>
      </c>
      <c r="BE230" s="25">
        <f t="shared" si="124"/>
        <v>64.800000000000011</v>
      </c>
      <c r="BF230" s="25">
        <f t="shared" si="125"/>
        <v>-10.8</v>
      </c>
    </row>
    <row r="231" spans="1:58" s="25" customFormat="1" ht="15" customHeight="1" x14ac:dyDescent="0.25">
      <c r="A231" s="38" t="s">
        <v>307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95"/>
        <v>4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43"/>
      <c r="Y231" s="23"/>
      <c r="Z231" s="23"/>
      <c r="AA231" s="23"/>
      <c r="AB231" s="24">
        <f t="shared" si="96"/>
        <v>0</v>
      </c>
      <c r="AC231" s="24">
        <f t="shared" si="97"/>
        <v>4</v>
      </c>
      <c r="AD231" s="25">
        <v>11.7</v>
      </c>
      <c r="AE231" s="25">
        <f t="shared" si="98"/>
        <v>46.8</v>
      </c>
      <c r="AF231" s="25">
        <f t="shared" si="99"/>
        <v>397.79999999999995</v>
      </c>
      <c r="AG231" s="25">
        <f t="shared" si="100"/>
        <v>0</v>
      </c>
      <c r="AH231" s="25">
        <f t="shared" si="101"/>
        <v>0</v>
      </c>
      <c r="AI231" s="25">
        <f t="shared" si="102"/>
        <v>269.09999999999997</v>
      </c>
      <c r="AJ231" s="25">
        <f t="shared" si="103"/>
        <v>0</v>
      </c>
      <c r="AK231" s="25">
        <f t="shared" si="104"/>
        <v>0</v>
      </c>
      <c r="AL231" s="25">
        <f t="shared" si="105"/>
        <v>0</v>
      </c>
      <c r="AM231" s="25">
        <f t="shared" si="106"/>
        <v>46.8</v>
      </c>
      <c r="AN231" s="25">
        <f t="shared" si="107"/>
        <v>0</v>
      </c>
      <c r="AO231" s="25">
        <f t="shared" si="108"/>
        <v>0</v>
      </c>
      <c r="AP231" s="25">
        <f t="shared" si="109"/>
        <v>0</v>
      </c>
      <c r="AQ231" s="25">
        <f t="shared" si="110"/>
        <v>0</v>
      </c>
      <c r="AR231" s="25">
        <f t="shared" si="111"/>
        <v>0</v>
      </c>
      <c r="AS231" s="25">
        <f t="shared" si="112"/>
        <v>0</v>
      </c>
      <c r="AT231" s="25">
        <f t="shared" si="113"/>
        <v>0</v>
      </c>
      <c r="AU231" s="25">
        <f t="shared" si="114"/>
        <v>0</v>
      </c>
      <c r="AV231" s="25">
        <f t="shared" si="115"/>
        <v>0</v>
      </c>
      <c r="AW231" s="25">
        <f t="shared" si="116"/>
        <v>0</v>
      </c>
      <c r="AX231" s="25">
        <f t="shared" si="117"/>
        <v>0</v>
      </c>
      <c r="AY231" s="25">
        <f t="shared" si="118"/>
        <v>0</v>
      </c>
      <c r="AZ231" s="25">
        <f t="shared" si="119"/>
        <v>0</v>
      </c>
      <c r="BA231" s="25">
        <f t="shared" si="120"/>
        <v>0</v>
      </c>
      <c r="BB231" s="25">
        <f t="shared" si="121"/>
        <v>0</v>
      </c>
      <c r="BC231" s="25">
        <f t="shared" si="122"/>
        <v>0</v>
      </c>
      <c r="BD231" s="25">
        <f t="shared" si="123"/>
        <v>0</v>
      </c>
      <c r="BE231" s="25">
        <f t="shared" si="124"/>
        <v>0</v>
      </c>
      <c r="BF231" s="25">
        <f t="shared" si="125"/>
        <v>46.8</v>
      </c>
    </row>
    <row r="232" spans="1:58" s="25" customFormat="1" ht="15" customHeight="1" x14ac:dyDescent="0.25">
      <c r="A232" s="38" t="s">
        <v>308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95"/>
        <v>26</v>
      </c>
      <c r="K232" s="21"/>
      <c r="L232" s="23"/>
      <c r="M232" s="23"/>
      <c r="N232" s="43"/>
      <c r="O232" s="43"/>
      <c r="P232" s="23"/>
      <c r="Q232" s="23"/>
      <c r="R232" s="23"/>
      <c r="S232" s="23"/>
      <c r="T232" s="23"/>
      <c r="U232" s="23"/>
      <c r="V232" s="23"/>
      <c r="W232" s="23"/>
      <c r="X232" s="43"/>
      <c r="Y232" s="23"/>
      <c r="Z232" s="23"/>
      <c r="AA232" s="23"/>
      <c r="AB232" s="24">
        <f t="shared" si="96"/>
        <v>0</v>
      </c>
      <c r="AC232" s="24">
        <f t="shared" si="97"/>
        <v>26</v>
      </c>
      <c r="AD232" s="25">
        <v>12.6</v>
      </c>
      <c r="AE232" s="25">
        <f t="shared" si="98"/>
        <v>327.59999999999997</v>
      </c>
      <c r="AF232" s="25">
        <f t="shared" si="99"/>
        <v>226.79999999999998</v>
      </c>
      <c r="AG232" s="25">
        <f t="shared" si="100"/>
        <v>0</v>
      </c>
      <c r="AH232" s="25">
        <f t="shared" si="101"/>
        <v>0</v>
      </c>
      <c r="AI232" s="25">
        <f t="shared" si="102"/>
        <v>0</v>
      </c>
      <c r="AJ232" s="25">
        <f t="shared" si="103"/>
        <v>340.2</v>
      </c>
      <c r="AK232" s="25">
        <f t="shared" si="104"/>
        <v>0</v>
      </c>
      <c r="AL232" s="25">
        <f t="shared" si="105"/>
        <v>0</v>
      </c>
      <c r="AM232" s="25">
        <f t="shared" si="106"/>
        <v>327.59999999999997</v>
      </c>
      <c r="AN232" s="25">
        <f t="shared" si="107"/>
        <v>0</v>
      </c>
      <c r="AO232" s="25">
        <f t="shared" si="108"/>
        <v>0</v>
      </c>
      <c r="AP232" s="25">
        <f t="shared" si="109"/>
        <v>0</v>
      </c>
      <c r="AQ232" s="25">
        <f t="shared" si="110"/>
        <v>0</v>
      </c>
      <c r="AR232" s="25">
        <f t="shared" si="111"/>
        <v>0</v>
      </c>
      <c r="AS232" s="25">
        <f t="shared" si="112"/>
        <v>0</v>
      </c>
      <c r="AT232" s="25">
        <f t="shared" si="113"/>
        <v>0</v>
      </c>
      <c r="AU232" s="25">
        <f t="shared" si="114"/>
        <v>0</v>
      </c>
      <c r="AV232" s="25">
        <f t="shared" si="115"/>
        <v>0</v>
      </c>
      <c r="AW232" s="25">
        <f t="shared" si="116"/>
        <v>0</v>
      </c>
      <c r="AX232" s="25">
        <f t="shared" si="117"/>
        <v>0</v>
      </c>
      <c r="AY232" s="25">
        <f t="shared" si="118"/>
        <v>0</v>
      </c>
      <c r="AZ232" s="25">
        <f t="shared" si="119"/>
        <v>0</v>
      </c>
      <c r="BA232" s="25">
        <f t="shared" si="120"/>
        <v>0</v>
      </c>
      <c r="BB232" s="25">
        <f t="shared" si="121"/>
        <v>0</v>
      </c>
      <c r="BC232" s="25">
        <f t="shared" si="122"/>
        <v>0</v>
      </c>
      <c r="BD232" s="25">
        <f t="shared" si="123"/>
        <v>0</v>
      </c>
      <c r="BE232" s="25">
        <f t="shared" si="124"/>
        <v>0</v>
      </c>
      <c r="BF232" s="25">
        <f t="shared" si="125"/>
        <v>327.59999999999997</v>
      </c>
    </row>
    <row r="233" spans="1:58" s="25" customFormat="1" ht="15" customHeight="1" x14ac:dyDescent="0.25">
      <c r="A233" s="38" t="s">
        <v>309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95"/>
        <v>2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43"/>
      <c r="Y233" s="23"/>
      <c r="Z233" s="23"/>
      <c r="AA233" s="23"/>
      <c r="AB233" s="24">
        <f t="shared" si="96"/>
        <v>0</v>
      </c>
      <c r="AC233" s="24">
        <f t="shared" si="97"/>
        <v>2</v>
      </c>
      <c r="AD233" s="25">
        <v>13.5</v>
      </c>
      <c r="AE233" s="25">
        <f t="shared" si="98"/>
        <v>27</v>
      </c>
      <c r="AF233" s="25">
        <f t="shared" si="99"/>
        <v>94.5</v>
      </c>
      <c r="AG233" s="25">
        <f t="shared" si="100"/>
        <v>0</v>
      </c>
      <c r="AH233" s="25">
        <f t="shared" si="101"/>
        <v>0</v>
      </c>
      <c r="AI233" s="25">
        <f t="shared" si="102"/>
        <v>0</v>
      </c>
      <c r="AJ233" s="25">
        <f t="shared" si="103"/>
        <v>81</v>
      </c>
      <c r="AK233" s="25">
        <f t="shared" si="104"/>
        <v>0</v>
      </c>
      <c r="AL233" s="25">
        <f t="shared" si="105"/>
        <v>0</v>
      </c>
      <c r="AM233" s="25">
        <f t="shared" si="106"/>
        <v>27</v>
      </c>
      <c r="AN233" s="25">
        <f t="shared" si="107"/>
        <v>0</v>
      </c>
      <c r="AO233" s="25">
        <f t="shared" si="108"/>
        <v>0</v>
      </c>
      <c r="AP233" s="25">
        <f t="shared" si="109"/>
        <v>0</v>
      </c>
      <c r="AQ233" s="25">
        <f t="shared" si="110"/>
        <v>0</v>
      </c>
      <c r="AR233" s="25">
        <f t="shared" si="111"/>
        <v>0</v>
      </c>
      <c r="AS233" s="25">
        <f t="shared" si="112"/>
        <v>0</v>
      </c>
      <c r="AT233" s="25">
        <f t="shared" si="113"/>
        <v>0</v>
      </c>
      <c r="AU233" s="25">
        <f t="shared" si="114"/>
        <v>0</v>
      </c>
      <c r="AV233" s="25">
        <f t="shared" si="115"/>
        <v>0</v>
      </c>
      <c r="AW233" s="25">
        <f t="shared" si="116"/>
        <v>0</v>
      </c>
      <c r="AX233" s="25">
        <f t="shared" si="117"/>
        <v>0</v>
      </c>
      <c r="AY233" s="25">
        <f t="shared" si="118"/>
        <v>0</v>
      </c>
      <c r="AZ233" s="25">
        <f t="shared" si="119"/>
        <v>0</v>
      </c>
      <c r="BA233" s="25">
        <f t="shared" si="120"/>
        <v>0</v>
      </c>
      <c r="BB233" s="25">
        <f t="shared" si="121"/>
        <v>0</v>
      </c>
      <c r="BC233" s="25">
        <f t="shared" si="122"/>
        <v>0</v>
      </c>
      <c r="BD233" s="25">
        <f t="shared" si="123"/>
        <v>0</v>
      </c>
      <c r="BE233" s="25">
        <f t="shared" si="124"/>
        <v>0</v>
      </c>
      <c r="BF233" s="25">
        <f t="shared" si="125"/>
        <v>27</v>
      </c>
    </row>
    <row r="234" spans="1:58" s="25" customFormat="1" ht="15" customHeight="1" x14ac:dyDescent="0.25">
      <c r="A234" s="38" t="s">
        <v>310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95"/>
        <v>33</v>
      </c>
      <c r="K234" s="21"/>
      <c r="L234" s="23"/>
      <c r="M234" s="23"/>
      <c r="N234" s="43"/>
      <c r="O234" s="43"/>
      <c r="P234" s="23"/>
      <c r="Q234" s="23"/>
      <c r="R234" s="23"/>
      <c r="S234" s="23"/>
      <c r="T234" s="23"/>
      <c r="U234" s="23"/>
      <c r="V234" s="23"/>
      <c r="W234" s="23"/>
      <c r="X234" s="43"/>
      <c r="Y234" s="23"/>
      <c r="Z234" s="23"/>
      <c r="AA234" s="23"/>
      <c r="AB234" s="24">
        <f t="shared" si="96"/>
        <v>0</v>
      </c>
      <c r="AC234" s="24">
        <f t="shared" si="97"/>
        <v>33</v>
      </c>
      <c r="AD234" s="25">
        <v>14.4</v>
      </c>
      <c r="AE234" s="25">
        <f t="shared" si="98"/>
        <v>475.2</v>
      </c>
      <c r="AF234" s="25">
        <f t="shared" si="99"/>
        <v>216</v>
      </c>
      <c r="AG234" s="25">
        <f t="shared" si="100"/>
        <v>0</v>
      </c>
      <c r="AH234" s="25">
        <f t="shared" si="101"/>
        <v>0</v>
      </c>
      <c r="AI234" s="25">
        <f t="shared" si="102"/>
        <v>0</v>
      </c>
      <c r="AJ234" s="25">
        <f t="shared" si="103"/>
        <v>302.40000000000003</v>
      </c>
      <c r="AK234" s="25">
        <f t="shared" si="104"/>
        <v>0</v>
      </c>
      <c r="AL234" s="25">
        <f t="shared" si="105"/>
        <v>0</v>
      </c>
      <c r="AM234" s="25">
        <f t="shared" si="106"/>
        <v>475.2</v>
      </c>
      <c r="AN234" s="25">
        <f t="shared" si="107"/>
        <v>0</v>
      </c>
      <c r="AO234" s="25">
        <f t="shared" si="108"/>
        <v>0</v>
      </c>
      <c r="AP234" s="25">
        <f t="shared" si="109"/>
        <v>0</v>
      </c>
      <c r="AQ234" s="25">
        <f t="shared" si="110"/>
        <v>0</v>
      </c>
      <c r="AR234" s="25">
        <f t="shared" si="111"/>
        <v>0</v>
      </c>
      <c r="AS234" s="25">
        <f t="shared" si="112"/>
        <v>0</v>
      </c>
      <c r="AT234" s="25">
        <f t="shared" si="113"/>
        <v>0</v>
      </c>
      <c r="AU234" s="25">
        <f t="shared" si="114"/>
        <v>0</v>
      </c>
      <c r="AV234" s="25">
        <f t="shared" si="115"/>
        <v>0</v>
      </c>
      <c r="AW234" s="25">
        <f t="shared" si="116"/>
        <v>0</v>
      </c>
      <c r="AX234" s="25">
        <f t="shared" si="117"/>
        <v>0</v>
      </c>
      <c r="AY234" s="25">
        <f t="shared" si="118"/>
        <v>0</v>
      </c>
      <c r="AZ234" s="25">
        <f t="shared" si="119"/>
        <v>0</v>
      </c>
      <c r="BA234" s="25">
        <f t="shared" si="120"/>
        <v>0</v>
      </c>
      <c r="BB234" s="25">
        <f t="shared" si="121"/>
        <v>0</v>
      </c>
      <c r="BC234" s="25">
        <f t="shared" si="122"/>
        <v>0</v>
      </c>
      <c r="BD234" s="25">
        <f t="shared" si="123"/>
        <v>0</v>
      </c>
      <c r="BE234" s="25">
        <f t="shared" si="124"/>
        <v>0</v>
      </c>
      <c r="BF234" s="25">
        <f t="shared" si="125"/>
        <v>475.2</v>
      </c>
    </row>
    <row r="235" spans="1:58" s="25" customFormat="1" ht="15" customHeight="1" x14ac:dyDescent="0.25">
      <c r="A235" s="38" t="s">
        <v>311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95"/>
        <v>0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43"/>
      <c r="Y235" s="23"/>
      <c r="Z235" s="23"/>
      <c r="AA235" s="23"/>
      <c r="AB235" s="24">
        <f t="shared" si="96"/>
        <v>0</v>
      </c>
      <c r="AC235" s="24">
        <f t="shared" si="97"/>
        <v>0</v>
      </c>
      <c r="AD235" s="25">
        <v>15.3</v>
      </c>
      <c r="AE235" s="25">
        <f t="shared" si="98"/>
        <v>0</v>
      </c>
      <c r="AF235" s="25">
        <f t="shared" si="99"/>
        <v>15.3</v>
      </c>
      <c r="AG235" s="25">
        <f t="shared" si="100"/>
        <v>0</v>
      </c>
      <c r="AH235" s="25">
        <f t="shared" si="101"/>
        <v>0</v>
      </c>
      <c r="AI235" s="25">
        <f t="shared" si="102"/>
        <v>0</v>
      </c>
      <c r="AJ235" s="25">
        <f t="shared" si="103"/>
        <v>0</v>
      </c>
      <c r="AK235" s="25">
        <f t="shared" si="104"/>
        <v>0</v>
      </c>
      <c r="AL235" s="25">
        <f t="shared" si="105"/>
        <v>0</v>
      </c>
      <c r="AM235" s="25">
        <f t="shared" si="106"/>
        <v>0</v>
      </c>
      <c r="AN235" s="25">
        <f t="shared" si="107"/>
        <v>0</v>
      </c>
      <c r="AO235" s="25">
        <f t="shared" si="108"/>
        <v>0</v>
      </c>
      <c r="AP235" s="25">
        <f t="shared" si="109"/>
        <v>0</v>
      </c>
      <c r="AQ235" s="25">
        <f t="shared" si="110"/>
        <v>0</v>
      </c>
      <c r="AR235" s="25">
        <f t="shared" si="111"/>
        <v>0</v>
      </c>
      <c r="AS235" s="25">
        <f t="shared" si="112"/>
        <v>0</v>
      </c>
      <c r="AT235" s="25">
        <f t="shared" si="113"/>
        <v>0</v>
      </c>
      <c r="AU235" s="25">
        <f t="shared" si="114"/>
        <v>0</v>
      </c>
      <c r="AV235" s="25">
        <f t="shared" si="115"/>
        <v>0</v>
      </c>
      <c r="AW235" s="25">
        <f t="shared" si="116"/>
        <v>0</v>
      </c>
      <c r="AX235" s="25">
        <f t="shared" si="117"/>
        <v>0</v>
      </c>
      <c r="AY235" s="25">
        <f t="shared" si="118"/>
        <v>0</v>
      </c>
      <c r="AZ235" s="25">
        <f t="shared" si="119"/>
        <v>0</v>
      </c>
      <c r="BA235" s="25">
        <f t="shared" si="120"/>
        <v>0</v>
      </c>
      <c r="BB235" s="25">
        <f t="shared" si="121"/>
        <v>0</v>
      </c>
      <c r="BC235" s="25">
        <f t="shared" si="122"/>
        <v>0</v>
      </c>
      <c r="BD235" s="25">
        <f t="shared" si="123"/>
        <v>0</v>
      </c>
      <c r="BE235" s="25">
        <f t="shared" si="124"/>
        <v>0</v>
      </c>
      <c r="BF235" s="25">
        <f t="shared" si="125"/>
        <v>0</v>
      </c>
    </row>
    <row r="236" spans="1:58" s="25" customFormat="1" ht="15" customHeight="1" x14ac:dyDescent="0.25">
      <c r="A236" s="38" t="s">
        <v>312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95"/>
        <v>7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43"/>
      <c r="Y236" s="23"/>
      <c r="Z236" s="23"/>
      <c r="AA236" s="23"/>
      <c r="AB236" s="24">
        <f t="shared" si="96"/>
        <v>0</v>
      </c>
      <c r="AC236" s="24">
        <f t="shared" si="97"/>
        <v>7</v>
      </c>
      <c r="AD236" s="25">
        <v>16.2</v>
      </c>
      <c r="AE236" s="25">
        <f t="shared" si="98"/>
        <v>113.39999999999999</v>
      </c>
      <c r="AF236" s="25">
        <f t="shared" si="99"/>
        <v>0</v>
      </c>
      <c r="AG236" s="25">
        <f t="shared" si="100"/>
        <v>0</v>
      </c>
      <c r="AH236" s="25">
        <f t="shared" si="101"/>
        <v>0</v>
      </c>
      <c r="AI236" s="25">
        <f t="shared" si="102"/>
        <v>0</v>
      </c>
      <c r="AJ236" s="25">
        <f t="shared" si="103"/>
        <v>32.4</v>
      </c>
      <c r="AK236" s="25">
        <f t="shared" si="104"/>
        <v>0</v>
      </c>
      <c r="AL236" s="25">
        <f t="shared" si="105"/>
        <v>0</v>
      </c>
      <c r="AM236" s="25">
        <f t="shared" si="106"/>
        <v>113.39999999999999</v>
      </c>
      <c r="AN236" s="25">
        <f t="shared" si="107"/>
        <v>0</v>
      </c>
      <c r="AO236" s="25">
        <f t="shared" si="108"/>
        <v>0</v>
      </c>
      <c r="AP236" s="25">
        <f t="shared" si="109"/>
        <v>0</v>
      </c>
      <c r="AQ236" s="25">
        <f t="shared" si="110"/>
        <v>0</v>
      </c>
      <c r="AR236" s="25">
        <f t="shared" si="111"/>
        <v>0</v>
      </c>
      <c r="AS236" s="25">
        <f t="shared" si="112"/>
        <v>0</v>
      </c>
      <c r="AT236" s="25">
        <f t="shared" si="113"/>
        <v>0</v>
      </c>
      <c r="AU236" s="25">
        <f t="shared" si="114"/>
        <v>0</v>
      </c>
      <c r="AV236" s="25">
        <f t="shared" si="115"/>
        <v>0</v>
      </c>
      <c r="AW236" s="25">
        <f t="shared" si="116"/>
        <v>0</v>
      </c>
      <c r="AX236" s="25">
        <f t="shared" si="117"/>
        <v>0</v>
      </c>
      <c r="AY236" s="25">
        <f t="shared" si="118"/>
        <v>0</v>
      </c>
      <c r="AZ236" s="25">
        <f t="shared" si="119"/>
        <v>0</v>
      </c>
      <c r="BA236" s="25">
        <f t="shared" si="120"/>
        <v>0</v>
      </c>
      <c r="BB236" s="25">
        <f t="shared" si="121"/>
        <v>0</v>
      </c>
      <c r="BC236" s="25">
        <f t="shared" si="122"/>
        <v>0</v>
      </c>
      <c r="BD236" s="25">
        <f t="shared" si="123"/>
        <v>0</v>
      </c>
      <c r="BE236" s="25">
        <f t="shared" si="124"/>
        <v>0</v>
      </c>
      <c r="BF236" s="25">
        <f t="shared" si="125"/>
        <v>113.39999999999999</v>
      </c>
    </row>
    <row r="237" spans="1:58" s="25" customFormat="1" ht="15" customHeight="1" x14ac:dyDescent="0.25">
      <c r="A237" s="38" t="s">
        <v>313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95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43"/>
      <c r="Y237" s="23"/>
      <c r="Z237" s="23"/>
      <c r="AA237" s="23"/>
      <c r="AB237" s="24">
        <f t="shared" si="96"/>
        <v>0</v>
      </c>
      <c r="AC237" s="24">
        <f t="shared" si="97"/>
        <v>0</v>
      </c>
      <c r="AD237" s="25">
        <v>17.100000000000001</v>
      </c>
      <c r="AE237" s="25">
        <f t="shared" si="98"/>
        <v>0</v>
      </c>
      <c r="AF237" s="25">
        <f t="shared" si="99"/>
        <v>0</v>
      </c>
      <c r="AG237" s="25">
        <f t="shared" si="100"/>
        <v>0</v>
      </c>
      <c r="AH237" s="25">
        <f t="shared" si="101"/>
        <v>0</v>
      </c>
      <c r="AI237" s="25">
        <f t="shared" si="102"/>
        <v>0</v>
      </c>
      <c r="AJ237" s="25">
        <f t="shared" si="103"/>
        <v>0</v>
      </c>
      <c r="AK237" s="25">
        <f t="shared" si="104"/>
        <v>0</v>
      </c>
      <c r="AL237" s="25">
        <f t="shared" si="105"/>
        <v>0</v>
      </c>
      <c r="AM237" s="25">
        <f t="shared" si="106"/>
        <v>0</v>
      </c>
      <c r="AN237" s="25">
        <f t="shared" si="107"/>
        <v>0</v>
      </c>
      <c r="AO237" s="25">
        <f t="shared" si="108"/>
        <v>0</v>
      </c>
      <c r="AP237" s="25">
        <f t="shared" si="109"/>
        <v>0</v>
      </c>
      <c r="AQ237" s="25">
        <f t="shared" si="110"/>
        <v>0</v>
      </c>
      <c r="AR237" s="25">
        <f t="shared" si="111"/>
        <v>0</v>
      </c>
      <c r="AS237" s="25">
        <f t="shared" si="112"/>
        <v>0</v>
      </c>
      <c r="AT237" s="25">
        <f t="shared" si="113"/>
        <v>0</v>
      </c>
      <c r="AU237" s="25">
        <f t="shared" si="114"/>
        <v>0</v>
      </c>
      <c r="AV237" s="25">
        <f t="shared" si="115"/>
        <v>0</v>
      </c>
      <c r="AW237" s="25">
        <f t="shared" si="116"/>
        <v>0</v>
      </c>
      <c r="AX237" s="25">
        <f t="shared" si="117"/>
        <v>0</v>
      </c>
      <c r="AY237" s="25">
        <f t="shared" si="118"/>
        <v>0</v>
      </c>
      <c r="AZ237" s="25">
        <f t="shared" si="119"/>
        <v>0</v>
      </c>
      <c r="BA237" s="25">
        <f t="shared" si="120"/>
        <v>0</v>
      </c>
      <c r="BB237" s="25">
        <f t="shared" si="121"/>
        <v>0</v>
      </c>
      <c r="BC237" s="25">
        <f t="shared" si="122"/>
        <v>0</v>
      </c>
      <c r="BD237" s="25">
        <f t="shared" si="123"/>
        <v>0</v>
      </c>
      <c r="BE237" s="25">
        <f t="shared" si="124"/>
        <v>0</v>
      </c>
      <c r="BF237" s="25">
        <f t="shared" si="125"/>
        <v>0</v>
      </c>
    </row>
    <row r="238" spans="1:58" s="25" customFormat="1" ht="15" customHeight="1" x14ac:dyDescent="0.25">
      <c r="A238" s="38" t="s">
        <v>314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ref="J238:J249" si="126">B238+D238+E238</f>
        <v>0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43"/>
      <c r="Y238" s="23"/>
      <c r="Z238" s="23"/>
      <c r="AA238" s="23"/>
      <c r="AB238" s="24">
        <f t="shared" ref="AB238:AB249" si="127">L238+M238+P238+Q238+R238</f>
        <v>0</v>
      </c>
      <c r="AC238" s="24">
        <f t="shared" si="97"/>
        <v>0</v>
      </c>
      <c r="AD238" s="25">
        <v>18</v>
      </c>
      <c r="AE238" s="25">
        <f t="shared" si="98"/>
        <v>0</v>
      </c>
      <c r="AF238" s="25">
        <f t="shared" si="99"/>
        <v>288</v>
      </c>
      <c r="AG238" s="25">
        <f t="shared" si="100"/>
        <v>0</v>
      </c>
      <c r="AH238" s="25">
        <f t="shared" si="101"/>
        <v>0</v>
      </c>
      <c r="AI238" s="25">
        <f t="shared" si="102"/>
        <v>0</v>
      </c>
      <c r="AJ238" s="25">
        <f t="shared" si="103"/>
        <v>0</v>
      </c>
      <c r="AK238" s="25">
        <f t="shared" si="104"/>
        <v>0</v>
      </c>
      <c r="AL238" s="25">
        <f t="shared" si="105"/>
        <v>0</v>
      </c>
      <c r="AM238" s="25">
        <f t="shared" si="106"/>
        <v>0</v>
      </c>
      <c r="AN238" s="25">
        <f t="shared" si="107"/>
        <v>0</v>
      </c>
      <c r="AO238" s="25">
        <f t="shared" si="108"/>
        <v>0</v>
      </c>
      <c r="AP238" s="25">
        <f t="shared" si="109"/>
        <v>0</v>
      </c>
      <c r="AQ238" s="25">
        <f t="shared" si="110"/>
        <v>0</v>
      </c>
      <c r="AR238" s="25">
        <f t="shared" si="111"/>
        <v>0</v>
      </c>
      <c r="AS238" s="25">
        <f t="shared" si="112"/>
        <v>0</v>
      </c>
      <c r="AT238" s="25">
        <f t="shared" si="113"/>
        <v>0</v>
      </c>
      <c r="AU238" s="25">
        <f t="shared" si="114"/>
        <v>0</v>
      </c>
      <c r="AV238" s="25">
        <f t="shared" si="115"/>
        <v>0</v>
      </c>
      <c r="AW238" s="25">
        <f t="shared" si="116"/>
        <v>0</v>
      </c>
      <c r="AX238" s="25">
        <f t="shared" si="117"/>
        <v>0</v>
      </c>
      <c r="AY238" s="25">
        <f t="shared" si="118"/>
        <v>0</v>
      </c>
      <c r="AZ238" s="25">
        <f t="shared" si="119"/>
        <v>0</v>
      </c>
      <c r="BA238" s="25">
        <f t="shared" si="120"/>
        <v>0</v>
      </c>
      <c r="BB238" s="25">
        <f t="shared" si="121"/>
        <v>0</v>
      </c>
      <c r="BC238" s="25">
        <f t="shared" si="122"/>
        <v>0</v>
      </c>
      <c r="BD238" s="25">
        <f t="shared" si="123"/>
        <v>0</v>
      </c>
      <c r="BE238" s="25">
        <f t="shared" si="124"/>
        <v>0</v>
      </c>
      <c r="BF238" s="25">
        <f t="shared" si="125"/>
        <v>0</v>
      </c>
    </row>
    <row r="239" spans="1:58" s="25" customFormat="1" ht="15" customHeight="1" x14ac:dyDescent="0.25">
      <c r="A239" s="38" t="s">
        <v>315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126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43"/>
      <c r="Y239" s="23"/>
      <c r="Z239" s="23"/>
      <c r="AA239" s="23"/>
      <c r="AB239" s="24">
        <f t="shared" si="127"/>
        <v>0</v>
      </c>
      <c r="AC239" s="24">
        <f t="shared" si="97"/>
        <v>0</v>
      </c>
      <c r="AD239" s="25">
        <v>18.899999999999999</v>
      </c>
      <c r="AE239" s="25">
        <f t="shared" si="98"/>
        <v>0</v>
      </c>
      <c r="AF239" s="25">
        <f t="shared" si="99"/>
        <v>0</v>
      </c>
      <c r="AG239" s="25">
        <f t="shared" si="100"/>
        <v>0</v>
      </c>
      <c r="AH239" s="25">
        <f t="shared" si="101"/>
        <v>0</v>
      </c>
      <c r="AI239" s="25">
        <f t="shared" si="102"/>
        <v>0</v>
      </c>
      <c r="AJ239" s="25">
        <f t="shared" si="103"/>
        <v>0</v>
      </c>
      <c r="AK239" s="25">
        <f t="shared" si="104"/>
        <v>0</v>
      </c>
      <c r="AL239" s="25">
        <f t="shared" si="105"/>
        <v>0</v>
      </c>
      <c r="AM239" s="25">
        <f t="shared" si="106"/>
        <v>0</v>
      </c>
      <c r="AN239" s="25">
        <f t="shared" si="107"/>
        <v>0</v>
      </c>
      <c r="AO239" s="25">
        <f t="shared" si="108"/>
        <v>0</v>
      </c>
      <c r="AP239" s="25">
        <f t="shared" si="109"/>
        <v>0</v>
      </c>
      <c r="AQ239" s="25">
        <f t="shared" si="110"/>
        <v>0</v>
      </c>
      <c r="AR239" s="25">
        <f t="shared" si="111"/>
        <v>0</v>
      </c>
      <c r="AS239" s="25">
        <f t="shared" si="112"/>
        <v>0</v>
      </c>
      <c r="AT239" s="25">
        <f t="shared" si="113"/>
        <v>0</v>
      </c>
      <c r="AU239" s="25">
        <f t="shared" si="114"/>
        <v>0</v>
      </c>
      <c r="AV239" s="25">
        <f t="shared" si="115"/>
        <v>0</v>
      </c>
      <c r="AW239" s="25">
        <f t="shared" si="116"/>
        <v>0</v>
      </c>
      <c r="AX239" s="25">
        <f t="shared" si="117"/>
        <v>0</v>
      </c>
      <c r="AY239" s="25">
        <f t="shared" si="118"/>
        <v>0</v>
      </c>
      <c r="AZ239" s="25">
        <f t="shared" si="119"/>
        <v>0</v>
      </c>
      <c r="BA239" s="25">
        <f t="shared" si="120"/>
        <v>0</v>
      </c>
      <c r="BB239" s="25">
        <f t="shared" si="121"/>
        <v>0</v>
      </c>
      <c r="BC239" s="25">
        <f t="shared" si="122"/>
        <v>0</v>
      </c>
      <c r="BD239" s="25">
        <f t="shared" si="123"/>
        <v>0</v>
      </c>
      <c r="BE239" s="25">
        <f t="shared" si="124"/>
        <v>0</v>
      </c>
      <c r="BF239" s="25">
        <f t="shared" si="125"/>
        <v>0</v>
      </c>
    </row>
    <row r="240" spans="1:58" s="25" customFormat="1" ht="15" customHeight="1" x14ac:dyDescent="0.25">
      <c r="A240" s="38" t="s">
        <v>316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126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43"/>
      <c r="Y240" s="23"/>
      <c r="Z240" s="23"/>
      <c r="AA240" s="23"/>
      <c r="AB240" s="24">
        <f t="shared" si="127"/>
        <v>0</v>
      </c>
      <c r="AC240" s="24">
        <f t="shared" si="97"/>
        <v>0</v>
      </c>
      <c r="AD240" s="25">
        <v>19.8</v>
      </c>
      <c r="AE240" s="25">
        <f t="shared" si="98"/>
        <v>0</v>
      </c>
      <c r="AF240" s="25">
        <f t="shared" si="99"/>
        <v>0</v>
      </c>
      <c r="AG240" s="25">
        <f t="shared" si="100"/>
        <v>0</v>
      </c>
      <c r="AH240" s="25">
        <f t="shared" si="101"/>
        <v>0</v>
      </c>
      <c r="AI240" s="25">
        <f t="shared" si="102"/>
        <v>0</v>
      </c>
      <c r="AJ240" s="25">
        <f t="shared" si="103"/>
        <v>0</v>
      </c>
      <c r="AK240" s="25">
        <f t="shared" si="104"/>
        <v>0</v>
      </c>
      <c r="AL240" s="25">
        <f t="shared" si="105"/>
        <v>0</v>
      </c>
      <c r="AM240" s="25">
        <f t="shared" si="106"/>
        <v>0</v>
      </c>
      <c r="AN240" s="25">
        <f t="shared" si="107"/>
        <v>0</v>
      </c>
      <c r="AO240" s="25">
        <f t="shared" si="108"/>
        <v>0</v>
      </c>
      <c r="AP240" s="25">
        <f t="shared" si="109"/>
        <v>0</v>
      </c>
      <c r="AQ240" s="25">
        <f t="shared" si="110"/>
        <v>0</v>
      </c>
      <c r="AR240" s="25">
        <f t="shared" si="111"/>
        <v>0</v>
      </c>
      <c r="AS240" s="25">
        <f t="shared" si="112"/>
        <v>0</v>
      </c>
      <c r="AT240" s="25">
        <f t="shared" si="113"/>
        <v>0</v>
      </c>
      <c r="AU240" s="25">
        <f t="shared" si="114"/>
        <v>0</v>
      </c>
      <c r="AV240" s="25">
        <f t="shared" si="115"/>
        <v>0</v>
      </c>
      <c r="AW240" s="25">
        <f t="shared" si="116"/>
        <v>0</v>
      </c>
      <c r="AX240" s="25">
        <f t="shared" si="117"/>
        <v>0</v>
      </c>
      <c r="AY240" s="25">
        <f t="shared" si="118"/>
        <v>0</v>
      </c>
      <c r="AZ240" s="25">
        <f t="shared" si="119"/>
        <v>0</v>
      </c>
      <c r="BA240" s="25">
        <f t="shared" si="120"/>
        <v>0</v>
      </c>
      <c r="BB240" s="25">
        <f t="shared" si="121"/>
        <v>0</v>
      </c>
      <c r="BC240" s="25">
        <f t="shared" si="122"/>
        <v>0</v>
      </c>
      <c r="BD240" s="25">
        <f t="shared" si="123"/>
        <v>0</v>
      </c>
      <c r="BE240" s="25">
        <f t="shared" si="124"/>
        <v>0</v>
      </c>
      <c r="BF240" s="25">
        <f t="shared" si="125"/>
        <v>0</v>
      </c>
    </row>
    <row r="241" spans="1:58" s="25" customFormat="1" ht="15" customHeight="1" x14ac:dyDescent="0.25">
      <c r="A241" s="38" t="s">
        <v>317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126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43"/>
      <c r="Y241" s="23"/>
      <c r="Z241" s="23"/>
      <c r="AA241" s="23"/>
      <c r="AB241" s="24">
        <f t="shared" si="127"/>
        <v>0</v>
      </c>
      <c r="AC241" s="24">
        <f t="shared" si="97"/>
        <v>0</v>
      </c>
      <c r="AD241" s="25">
        <v>20.7</v>
      </c>
      <c r="AE241" s="25">
        <f t="shared" si="98"/>
        <v>0</v>
      </c>
      <c r="AF241" s="25">
        <f t="shared" si="99"/>
        <v>0</v>
      </c>
      <c r="AG241" s="25">
        <f t="shared" si="100"/>
        <v>0</v>
      </c>
      <c r="AH241" s="25">
        <f t="shared" si="101"/>
        <v>0</v>
      </c>
      <c r="AI241" s="25">
        <f t="shared" si="102"/>
        <v>0</v>
      </c>
      <c r="AJ241" s="25">
        <f t="shared" si="103"/>
        <v>0</v>
      </c>
      <c r="AK241" s="25">
        <f t="shared" si="104"/>
        <v>0</v>
      </c>
      <c r="AL241" s="25">
        <f t="shared" si="105"/>
        <v>0</v>
      </c>
      <c r="AM241" s="25">
        <f t="shared" si="106"/>
        <v>0</v>
      </c>
      <c r="AN241" s="25">
        <f t="shared" si="107"/>
        <v>0</v>
      </c>
      <c r="AO241" s="25">
        <f t="shared" si="108"/>
        <v>0</v>
      </c>
      <c r="AP241" s="25">
        <f t="shared" si="109"/>
        <v>0</v>
      </c>
      <c r="AQ241" s="25">
        <f t="shared" si="110"/>
        <v>0</v>
      </c>
      <c r="AR241" s="25">
        <f t="shared" si="111"/>
        <v>0</v>
      </c>
      <c r="AS241" s="25">
        <f t="shared" si="112"/>
        <v>0</v>
      </c>
      <c r="AT241" s="25">
        <f t="shared" si="113"/>
        <v>0</v>
      </c>
      <c r="AU241" s="25">
        <f t="shared" si="114"/>
        <v>0</v>
      </c>
      <c r="AV241" s="25">
        <f t="shared" si="115"/>
        <v>0</v>
      </c>
      <c r="AW241" s="25">
        <f t="shared" si="116"/>
        <v>0</v>
      </c>
      <c r="AX241" s="25">
        <f t="shared" si="117"/>
        <v>0</v>
      </c>
      <c r="AY241" s="25">
        <f t="shared" si="118"/>
        <v>0</v>
      </c>
      <c r="AZ241" s="25">
        <f t="shared" si="119"/>
        <v>0</v>
      </c>
      <c r="BA241" s="25">
        <f t="shared" si="120"/>
        <v>0</v>
      </c>
      <c r="BB241" s="25">
        <f t="shared" si="121"/>
        <v>0</v>
      </c>
      <c r="BC241" s="25">
        <f t="shared" si="122"/>
        <v>0</v>
      </c>
      <c r="BD241" s="25">
        <f t="shared" si="123"/>
        <v>0</v>
      </c>
      <c r="BE241" s="25">
        <f t="shared" si="124"/>
        <v>0</v>
      </c>
      <c r="BF241" s="25">
        <f t="shared" si="125"/>
        <v>0</v>
      </c>
    </row>
    <row r="242" spans="1:58" s="25" customFormat="1" ht="15" customHeight="1" x14ac:dyDescent="0.25">
      <c r="A242" s="38" t="s">
        <v>318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126"/>
        <v>1</v>
      </c>
      <c r="K242" s="21"/>
      <c r="L242" s="23"/>
      <c r="M242" s="23"/>
      <c r="N242" s="43"/>
      <c r="O242" s="43"/>
      <c r="P242" s="23"/>
      <c r="Q242" s="23"/>
      <c r="R242" s="23"/>
      <c r="S242" s="23"/>
      <c r="T242" s="23"/>
      <c r="U242" s="23"/>
      <c r="V242" s="23"/>
      <c r="W242" s="23"/>
      <c r="X242" s="43"/>
      <c r="Y242" s="23"/>
      <c r="Z242" s="23"/>
      <c r="AA242" s="23"/>
      <c r="AB242" s="24">
        <f t="shared" si="127"/>
        <v>0</v>
      </c>
      <c r="AC242" s="24">
        <f t="shared" si="97"/>
        <v>1</v>
      </c>
      <c r="AD242" s="25">
        <v>21.6</v>
      </c>
      <c r="AE242" s="25">
        <f t="shared" si="98"/>
        <v>21.6</v>
      </c>
      <c r="AF242" s="25">
        <f t="shared" si="99"/>
        <v>21.6</v>
      </c>
      <c r="AG242" s="25">
        <f t="shared" si="100"/>
        <v>0</v>
      </c>
      <c r="AH242" s="25">
        <f t="shared" si="101"/>
        <v>0</v>
      </c>
      <c r="AI242" s="25">
        <f t="shared" si="102"/>
        <v>0</v>
      </c>
      <c r="AJ242" s="25">
        <f t="shared" si="103"/>
        <v>0</v>
      </c>
      <c r="AK242" s="25">
        <f t="shared" si="104"/>
        <v>0</v>
      </c>
      <c r="AL242" s="25">
        <f t="shared" si="105"/>
        <v>0</v>
      </c>
      <c r="AM242" s="25">
        <f t="shared" si="106"/>
        <v>21.6</v>
      </c>
      <c r="AN242" s="25">
        <f t="shared" si="107"/>
        <v>0</v>
      </c>
      <c r="AO242" s="25">
        <f t="shared" si="108"/>
        <v>0</v>
      </c>
      <c r="AP242" s="25">
        <f t="shared" si="109"/>
        <v>0</v>
      </c>
      <c r="AQ242" s="25">
        <f t="shared" si="110"/>
        <v>0</v>
      </c>
      <c r="AR242" s="25">
        <f t="shared" si="111"/>
        <v>0</v>
      </c>
      <c r="AS242" s="25">
        <f t="shared" si="112"/>
        <v>0</v>
      </c>
      <c r="AT242" s="25">
        <f t="shared" si="113"/>
        <v>0</v>
      </c>
      <c r="AU242" s="25">
        <f t="shared" si="114"/>
        <v>0</v>
      </c>
      <c r="AV242" s="25">
        <f t="shared" si="115"/>
        <v>0</v>
      </c>
      <c r="AW242" s="25">
        <f t="shared" si="116"/>
        <v>0</v>
      </c>
      <c r="AX242" s="25">
        <f t="shared" si="117"/>
        <v>0</v>
      </c>
      <c r="AY242" s="25">
        <f t="shared" si="118"/>
        <v>0</v>
      </c>
      <c r="AZ242" s="25">
        <f t="shared" si="119"/>
        <v>0</v>
      </c>
      <c r="BA242" s="25">
        <f t="shared" si="120"/>
        <v>0</v>
      </c>
      <c r="BB242" s="25">
        <f t="shared" si="121"/>
        <v>0</v>
      </c>
      <c r="BC242" s="25">
        <f t="shared" si="122"/>
        <v>0</v>
      </c>
      <c r="BD242" s="25">
        <f t="shared" si="123"/>
        <v>0</v>
      </c>
      <c r="BE242" s="25">
        <f t="shared" si="124"/>
        <v>0</v>
      </c>
      <c r="BF242" s="25">
        <f t="shared" si="125"/>
        <v>21.6</v>
      </c>
    </row>
    <row r="243" spans="1:58" s="25" customFormat="1" ht="15" customHeight="1" x14ac:dyDescent="0.25">
      <c r="A243" s="38" t="s">
        <v>319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126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43"/>
      <c r="Y243" s="23"/>
      <c r="Z243" s="23"/>
      <c r="AA243" s="23"/>
      <c r="AB243" s="24">
        <f t="shared" si="127"/>
        <v>0</v>
      </c>
      <c r="AC243" s="24">
        <f t="shared" si="97"/>
        <v>0</v>
      </c>
      <c r="AD243" s="25">
        <v>6.25</v>
      </c>
      <c r="AE243" s="25">
        <f t="shared" si="98"/>
        <v>0</v>
      </c>
      <c r="AF243" s="25">
        <f t="shared" si="99"/>
        <v>0</v>
      </c>
      <c r="AG243" s="25">
        <f t="shared" si="100"/>
        <v>0</v>
      </c>
      <c r="AH243" s="25">
        <f t="shared" si="101"/>
        <v>0</v>
      </c>
      <c r="AI243" s="25">
        <f t="shared" si="102"/>
        <v>0</v>
      </c>
      <c r="AJ243" s="25">
        <f t="shared" si="103"/>
        <v>0</v>
      </c>
      <c r="AK243" s="25">
        <f t="shared" si="104"/>
        <v>0</v>
      </c>
      <c r="AL243" s="25">
        <f t="shared" si="105"/>
        <v>0</v>
      </c>
      <c r="AM243" s="25">
        <f t="shared" si="106"/>
        <v>0</v>
      </c>
      <c r="AN243" s="25">
        <f t="shared" si="107"/>
        <v>0</v>
      </c>
      <c r="AO243" s="25">
        <f t="shared" si="108"/>
        <v>0</v>
      </c>
      <c r="AP243" s="25">
        <f t="shared" si="109"/>
        <v>0</v>
      </c>
      <c r="AQ243" s="25">
        <f t="shared" si="110"/>
        <v>0</v>
      </c>
      <c r="AR243" s="25">
        <f t="shared" si="111"/>
        <v>0</v>
      </c>
      <c r="AS243" s="25">
        <f t="shared" si="112"/>
        <v>0</v>
      </c>
      <c r="AT243" s="25">
        <f t="shared" si="113"/>
        <v>0</v>
      </c>
      <c r="AU243" s="25">
        <f t="shared" si="114"/>
        <v>0</v>
      </c>
      <c r="AV243" s="25">
        <f t="shared" si="115"/>
        <v>0</v>
      </c>
      <c r="AW243" s="25">
        <f t="shared" si="116"/>
        <v>0</v>
      </c>
      <c r="AX243" s="25">
        <f t="shared" si="117"/>
        <v>0</v>
      </c>
      <c r="AY243" s="25">
        <f t="shared" si="118"/>
        <v>0</v>
      </c>
      <c r="AZ243" s="25">
        <f t="shared" si="119"/>
        <v>0</v>
      </c>
      <c r="BA243" s="25">
        <f t="shared" si="120"/>
        <v>0</v>
      </c>
      <c r="BB243" s="25">
        <f t="shared" si="121"/>
        <v>0</v>
      </c>
      <c r="BC243" s="25">
        <f t="shared" si="122"/>
        <v>0</v>
      </c>
      <c r="BD243" s="25">
        <f t="shared" si="123"/>
        <v>0</v>
      </c>
      <c r="BE243" s="25">
        <f t="shared" si="124"/>
        <v>0</v>
      </c>
      <c r="BF243" s="25">
        <f t="shared" si="125"/>
        <v>0</v>
      </c>
    </row>
    <row r="244" spans="1:58" s="25" customFormat="1" ht="15" customHeight="1" x14ac:dyDescent="0.25">
      <c r="A244" s="38" t="s">
        <v>320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126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43"/>
      <c r="Y244" s="23"/>
      <c r="Z244" s="23"/>
      <c r="AA244" s="23"/>
      <c r="AB244" s="24">
        <f t="shared" si="127"/>
        <v>0</v>
      </c>
      <c r="AC244" s="24">
        <f t="shared" si="97"/>
        <v>3</v>
      </c>
      <c r="AD244" s="25">
        <v>7.5</v>
      </c>
      <c r="AE244" s="25">
        <f t="shared" si="98"/>
        <v>22.5</v>
      </c>
      <c r="AF244" s="25">
        <f t="shared" si="99"/>
        <v>0</v>
      </c>
      <c r="AG244" s="25">
        <f t="shared" si="100"/>
        <v>0</v>
      </c>
      <c r="AH244" s="25">
        <f t="shared" si="101"/>
        <v>0</v>
      </c>
      <c r="AI244" s="25">
        <f t="shared" si="102"/>
        <v>0</v>
      </c>
      <c r="AJ244" s="25">
        <f t="shared" si="103"/>
        <v>0</v>
      </c>
      <c r="AK244" s="25">
        <f t="shared" si="104"/>
        <v>0</v>
      </c>
      <c r="AL244" s="25">
        <f t="shared" si="105"/>
        <v>0</v>
      </c>
      <c r="AM244" s="25">
        <f t="shared" si="106"/>
        <v>22.5</v>
      </c>
      <c r="AN244" s="25">
        <f t="shared" si="107"/>
        <v>0</v>
      </c>
      <c r="AO244" s="25">
        <f t="shared" si="108"/>
        <v>0</v>
      </c>
      <c r="AP244" s="25">
        <f t="shared" si="109"/>
        <v>0</v>
      </c>
      <c r="AQ244" s="25">
        <f t="shared" si="110"/>
        <v>0</v>
      </c>
      <c r="AR244" s="25">
        <f t="shared" si="111"/>
        <v>0</v>
      </c>
      <c r="AS244" s="25">
        <f t="shared" si="112"/>
        <v>0</v>
      </c>
      <c r="AT244" s="25">
        <f t="shared" si="113"/>
        <v>0</v>
      </c>
      <c r="AU244" s="25">
        <f t="shared" si="114"/>
        <v>0</v>
      </c>
      <c r="AV244" s="25">
        <f t="shared" si="115"/>
        <v>0</v>
      </c>
      <c r="AW244" s="25">
        <f t="shared" si="116"/>
        <v>0</v>
      </c>
      <c r="AX244" s="25">
        <f t="shared" si="117"/>
        <v>0</v>
      </c>
      <c r="AY244" s="25">
        <f t="shared" si="118"/>
        <v>0</v>
      </c>
      <c r="AZ244" s="25">
        <f t="shared" si="119"/>
        <v>0</v>
      </c>
      <c r="BA244" s="25">
        <f t="shared" si="120"/>
        <v>0</v>
      </c>
      <c r="BB244" s="25">
        <f t="shared" si="121"/>
        <v>0</v>
      </c>
      <c r="BC244" s="25">
        <f t="shared" si="122"/>
        <v>0</v>
      </c>
      <c r="BD244" s="25">
        <f t="shared" si="123"/>
        <v>0</v>
      </c>
      <c r="BE244" s="25">
        <f t="shared" si="124"/>
        <v>0</v>
      </c>
      <c r="BF244" s="25">
        <f t="shared" si="125"/>
        <v>22.5</v>
      </c>
    </row>
    <row r="245" spans="1:58" s="25" customFormat="1" ht="15" customHeight="1" x14ac:dyDescent="0.25">
      <c r="A245" s="38" t="s">
        <v>321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126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43"/>
      <c r="Y245" s="23"/>
      <c r="Z245" s="23"/>
      <c r="AA245" s="23"/>
      <c r="AB245" s="24">
        <f t="shared" si="127"/>
        <v>0</v>
      </c>
      <c r="AC245" s="24">
        <f t="shared" si="97"/>
        <v>7</v>
      </c>
      <c r="AD245" s="25">
        <v>10</v>
      </c>
      <c r="AE245" s="25">
        <f t="shared" si="98"/>
        <v>70</v>
      </c>
      <c r="AF245" s="25">
        <f t="shared" si="99"/>
        <v>0</v>
      </c>
      <c r="AG245" s="25">
        <f t="shared" si="100"/>
        <v>0</v>
      </c>
      <c r="AH245" s="25">
        <f t="shared" si="101"/>
        <v>0</v>
      </c>
      <c r="AI245" s="25">
        <f t="shared" si="102"/>
        <v>0</v>
      </c>
      <c r="AJ245" s="25">
        <f t="shared" si="103"/>
        <v>0</v>
      </c>
      <c r="AK245" s="25">
        <f t="shared" si="104"/>
        <v>0</v>
      </c>
      <c r="AL245" s="25">
        <f t="shared" si="105"/>
        <v>0</v>
      </c>
      <c r="AM245" s="25">
        <f t="shared" si="106"/>
        <v>70</v>
      </c>
      <c r="AN245" s="25">
        <f t="shared" si="107"/>
        <v>0</v>
      </c>
      <c r="AO245" s="25">
        <f t="shared" si="108"/>
        <v>0</v>
      </c>
      <c r="AP245" s="25">
        <f t="shared" si="109"/>
        <v>0</v>
      </c>
      <c r="AQ245" s="25">
        <f t="shared" si="110"/>
        <v>0</v>
      </c>
      <c r="AR245" s="25">
        <f t="shared" si="111"/>
        <v>0</v>
      </c>
      <c r="AS245" s="25">
        <f t="shared" si="112"/>
        <v>0</v>
      </c>
      <c r="AT245" s="25">
        <f t="shared" si="113"/>
        <v>0</v>
      </c>
      <c r="AU245" s="25">
        <f t="shared" si="114"/>
        <v>0</v>
      </c>
      <c r="AV245" s="25">
        <f t="shared" si="115"/>
        <v>0</v>
      </c>
      <c r="AW245" s="25">
        <f t="shared" si="116"/>
        <v>0</v>
      </c>
      <c r="AX245" s="25">
        <f t="shared" si="117"/>
        <v>0</v>
      </c>
      <c r="AY245" s="25">
        <f t="shared" si="118"/>
        <v>0</v>
      </c>
      <c r="AZ245" s="25">
        <f t="shared" si="119"/>
        <v>0</v>
      </c>
      <c r="BA245" s="25">
        <f t="shared" si="120"/>
        <v>0</v>
      </c>
      <c r="BB245" s="25">
        <f t="shared" si="121"/>
        <v>0</v>
      </c>
      <c r="BC245" s="25">
        <f t="shared" si="122"/>
        <v>0</v>
      </c>
      <c r="BD245" s="25">
        <f t="shared" si="123"/>
        <v>0</v>
      </c>
      <c r="BE245" s="25">
        <f t="shared" si="124"/>
        <v>0</v>
      </c>
      <c r="BF245" s="25">
        <f t="shared" si="125"/>
        <v>70</v>
      </c>
    </row>
    <row r="246" spans="1:58" s="25" customFormat="1" ht="15" customHeight="1" x14ac:dyDescent="0.25">
      <c r="A246" s="38" t="s">
        <v>322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126"/>
        <v>7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43"/>
      <c r="Y246" s="23"/>
      <c r="Z246" s="23"/>
      <c r="AA246" s="23"/>
      <c r="AB246" s="24">
        <f t="shared" si="127"/>
        <v>0</v>
      </c>
      <c r="AC246" s="24">
        <f t="shared" si="97"/>
        <v>7</v>
      </c>
      <c r="AD246" s="25">
        <v>12.19</v>
      </c>
      <c r="AE246" s="25">
        <f t="shared" si="98"/>
        <v>73.14</v>
      </c>
      <c r="AF246" s="25">
        <f t="shared" si="99"/>
        <v>0</v>
      </c>
      <c r="AG246" s="25">
        <f t="shared" si="100"/>
        <v>12.19</v>
      </c>
      <c r="AH246" s="25">
        <f t="shared" si="101"/>
        <v>0</v>
      </c>
      <c r="AI246" s="25">
        <f t="shared" si="102"/>
        <v>0</v>
      </c>
      <c r="AJ246" s="25">
        <f t="shared" si="103"/>
        <v>0</v>
      </c>
      <c r="AK246" s="25">
        <f t="shared" si="104"/>
        <v>0</v>
      </c>
      <c r="AL246" s="25">
        <f t="shared" si="105"/>
        <v>0</v>
      </c>
      <c r="AM246" s="25">
        <f t="shared" si="106"/>
        <v>85.33</v>
      </c>
      <c r="AN246" s="25">
        <f t="shared" si="107"/>
        <v>0</v>
      </c>
      <c r="AO246" s="25">
        <f t="shared" si="108"/>
        <v>0</v>
      </c>
      <c r="AP246" s="25">
        <f t="shared" si="109"/>
        <v>0</v>
      </c>
      <c r="AQ246" s="25">
        <f t="shared" si="110"/>
        <v>0</v>
      </c>
      <c r="AR246" s="25">
        <f t="shared" si="111"/>
        <v>0</v>
      </c>
      <c r="AS246" s="25">
        <f t="shared" si="112"/>
        <v>0</v>
      </c>
      <c r="AT246" s="25">
        <f t="shared" si="113"/>
        <v>0</v>
      </c>
      <c r="AU246" s="25">
        <f t="shared" si="114"/>
        <v>0</v>
      </c>
      <c r="AV246" s="25">
        <f t="shared" si="115"/>
        <v>0</v>
      </c>
      <c r="AW246" s="25">
        <f t="shared" si="116"/>
        <v>0</v>
      </c>
      <c r="AX246" s="25">
        <f t="shared" si="117"/>
        <v>0</v>
      </c>
      <c r="AY246" s="25">
        <f t="shared" si="118"/>
        <v>0</v>
      </c>
      <c r="AZ246" s="25">
        <f t="shared" si="119"/>
        <v>0</v>
      </c>
      <c r="BA246" s="25">
        <f t="shared" si="120"/>
        <v>0</v>
      </c>
      <c r="BB246" s="25">
        <f t="shared" si="121"/>
        <v>0</v>
      </c>
      <c r="BC246" s="25">
        <f t="shared" si="122"/>
        <v>0</v>
      </c>
      <c r="BD246" s="25">
        <f t="shared" si="123"/>
        <v>0</v>
      </c>
      <c r="BE246" s="25">
        <f t="shared" si="124"/>
        <v>0</v>
      </c>
      <c r="BF246" s="25">
        <f t="shared" si="125"/>
        <v>85.33</v>
      </c>
    </row>
    <row r="247" spans="1:58" s="25" customFormat="1" ht="15" customHeight="1" x14ac:dyDescent="0.25">
      <c r="A247" s="38" t="s">
        <v>323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126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43"/>
      <c r="Y247" s="23"/>
      <c r="Z247" s="23"/>
      <c r="AA247" s="23"/>
      <c r="AB247" s="24">
        <f t="shared" si="127"/>
        <v>0</v>
      </c>
      <c r="AC247" s="24">
        <f t="shared" si="97"/>
        <v>0</v>
      </c>
      <c r="AD247" s="25">
        <v>21.88</v>
      </c>
      <c r="AE247" s="25">
        <f t="shared" si="98"/>
        <v>0</v>
      </c>
      <c r="AF247" s="25">
        <f t="shared" si="99"/>
        <v>0</v>
      </c>
      <c r="AG247" s="25">
        <f t="shared" si="100"/>
        <v>0</v>
      </c>
      <c r="AH247" s="25">
        <f t="shared" si="101"/>
        <v>0</v>
      </c>
      <c r="AI247" s="25">
        <f t="shared" si="102"/>
        <v>0</v>
      </c>
      <c r="AJ247" s="25">
        <f t="shared" si="103"/>
        <v>0</v>
      </c>
      <c r="AK247" s="25">
        <f t="shared" si="104"/>
        <v>0</v>
      </c>
      <c r="AL247" s="25">
        <f t="shared" si="105"/>
        <v>0</v>
      </c>
      <c r="AM247" s="25">
        <f t="shared" si="106"/>
        <v>0</v>
      </c>
      <c r="AN247" s="25">
        <f t="shared" si="107"/>
        <v>0</v>
      </c>
      <c r="AO247" s="25">
        <f t="shared" si="108"/>
        <v>0</v>
      </c>
      <c r="AP247" s="25">
        <f t="shared" si="109"/>
        <v>0</v>
      </c>
      <c r="AQ247" s="25">
        <f t="shared" si="110"/>
        <v>0</v>
      </c>
      <c r="AR247" s="25">
        <f t="shared" si="111"/>
        <v>0</v>
      </c>
      <c r="AS247" s="25">
        <f t="shared" si="112"/>
        <v>0</v>
      </c>
      <c r="AT247" s="25">
        <f t="shared" si="113"/>
        <v>0</v>
      </c>
      <c r="AU247" s="25">
        <f t="shared" si="114"/>
        <v>0</v>
      </c>
      <c r="AV247" s="25">
        <f t="shared" si="115"/>
        <v>0</v>
      </c>
      <c r="AW247" s="25">
        <f t="shared" si="116"/>
        <v>0</v>
      </c>
      <c r="AX247" s="25">
        <f t="shared" si="117"/>
        <v>0</v>
      </c>
      <c r="AY247" s="25">
        <f t="shared" si="118"/>
        <v>0</v>
      </c>
      <c r="AZ247" s="25">
        <f t="shared" si="119"/>
        <v>0</v>
      </c>
      <c r="BA247" s="25">
        <f t="shared" si="120"/>
        <v>0</v>
      </c>
      <c r="BB247" s="25">
        <f t="shared" si="121"/>
        <v>0</v>
      </c>
      <c r="BC247" s="25">
        <f t="shared" si="122"/>
        <v>0</v>
      </c>
      <c r="BD247" s="25">
        <f t="shared" si="123"/>
        <v>0</v>
      </c>
      <c r="BE247" s="25">
        <f t="shared" si="124"/>
        <v>0</v>
      </c>
      <c r="BF247" s="25">
        <f t="shared" si="125"/>
        <v>0</v>
      </c>
    </row>
    <row r="248" spans="1:58" s="25" customFormat="1" ht="15" customHeight="1" x14ac:dyDescent="0.25">
      <c r="A248" s="38" t="s">
        <v>324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126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43"/>
      <c r="Y248" s="23"/>
      <c r="Z248" s="23"/>
      <c r="AA248" s="23"/>
      <c r="AB248" s="24">
        <f t="shared" si="127"/>
        <v>0</v>
      </c>
      <c r="AC248" s="24">
        <f t="shared" si="97"/>
        <v>0</v>
      </c>
      <c r="AD248" s="25">
        <v>19.5</v>
      </c>
      <c r="AE248" s="25">
        <f t="shared" si="98"/>
        <v>0</v>
      </c>
      <c r="AF248" s="25">
        <f t="shared" si="99"/>
        <v>0</v>
      </c>
      <c r="AG248" s="25">
        <f t="shared" si="100"/>
        <v>0</v>
      </c>
      <c r="AH248" s="25">
        <f t="shared" si="101"/>
        <v>0</v>
      </c>
      <c r="AI248" s="25">
        <f t="shared" si="102"/>
        <v>0</v>
      </c>
      <c r="AJ248" s="25">
        <f t="shared" si="103"/>
        <v>0</v>
      </c>
      <c r="AK248" s="25">
        <f t="shared" si="104"/>
        <v>0</v>
      </c>
      <c r="AL248" s="25">
        <f t="shared" si="105"/>
        <v>0</v>
      </c>
      <c r="AM248" s="25">
        <f t="shared" si="106"/>
        <v>0</v>
      </c>
      <c r="AN248" s="25">
        <f t="shared" si="107"/>
        <v>0</v>
      </c>
      <c r="AO248" s="25">
        <f t="shared" si="108"/>
        <v>0</v>
      </c>
      <c r="AP248" s="25">
        <f t="shared" si="109"/>
        <v>0</v>
      </c>
      <c r="AQ248" s="25">
        <f t="shared" si="110"/>
        <v>0</v>
      </c>
      <c r="AR248" s="25">
        <f t="shared" si="111"/>
        <v>0</v>
      </c>
      <c r="AS248" s="25">
        <f t="shared" si="112"/>
        <v>0</v>
      </c>
      <c r="AT248" s="25">
        <f t="shared" si="113"/>
        <v>0</v>
      </c>
      <c r="AU248" s="25">
        <f t="shared" si="114"/>
        <v>0</v>
      </c>
      <c r="AV248" s="25">
        <f t="shared" si="115"/>
        <v>0</v>
      </c>
      <c r="AW248" s="25">
        <f t="shared" si="116"/>
        <v>0</v>
      </c>
      <c r="AX248" s="25">
        <f t="shared" si="117"/>
        <v>0</v>
      </c>
      <c r="AY248" s="25">
        <f t="shared" si="118"/>
        <v>0</v>
      </c>
      <c r="AZ248" s="25">
        <f t="shared" si="119"/>
        <v>0</v>
      </c>
      <c r="BA248" s="25">
        <f t="shared" si="120"/>
        <v>0</v>
      </c>
      <c r="BB248" s="25">
        <f t="shared" si="121"/>
        <v>0</v>
      </c>
      <c r="BC248" s="25">
        <f t="shared" si="122"/>
        <v>0</v>
      </c>
      <c r="BD248" s="25">
        <f t="shared" si="123"/>
        <v>0</v>
      </c>
      <c r="BE248" s="25">
        <f t="shared" si="124"/>
        <v>0</v>
      </c>
      <c r="BF248" s="25">
        <f t="shared" si="125"/>
        <v>0</v>
      </c>
    </row>
    <row r="249" spans="1:58" s="25" customFormat="1" ht="15" customHeight="1" x14ac:dyDescent="0.25">
      <c r="A249" s="38" t="s">
        <v>325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126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43"/>
      <c r="Y249" s="23"/>
      <c r="Z249" s="23"/>
      <c r="AA249" s="23"/>
      <c r="AB249" s="24">
        <f t="shared" si="127"/>
        <v>0</v>
      </c>
      <c r="AC249" s="24">
        <f t="shared" si="97"/>
        <v>0</v>
      </c>
      <c r="AD249" s="25">
        <v>29.5</v>
      </c>
      <c r="AE249" s="25">
        <f t="shared" si="98"/>
        <v>0</v>
      </c>
      <c r="AF249" s="25">
        <f t="shared" si="99"/>
        <v>0</v>
      </c>
      <c r="AG249" s="25">
        <f t="shared" si="100"/>
        <v>0</v>
      </c>
      <c r="AH249" s="25">
        <f t="shared" si="101"/>
        <v>0</v>
      </c>
      <c r="AI249" s="25">
        <f t="shared" si="102"/>
        <v>0</v>
      </c>
      <c r="AJ249" s="25">
        <f t="shared" si="103"/>
        <v>0</v>
      </c>
      <c r="AK249" s="25">
        <f t="shared" si="104"/>
        <v>0</v>
      </c>
      <c r="AL249" s="25">
        <f t="shared" si="105"/>
        <v>0</v>
      </c>
      <c r="AM249" s="25">
        <f t="shared" si="106"/>
        <v>0</v>
      </c>
      <c r="AN249" s="25">
        <f t="shared" si="107"/>
        <v>0</v>
      </c>
      <c r="AO249" s="25">
        <f t="shared" si="108"/>
        <v>0</v>
      </c>
      <c r="AP249" s="25">
        <f t="shared" si="109"/>
        <v>0</v>
      </c>
      <c r="AQ249" s="25">
        <f t="shared" si="110"/>
        <v>0</v>
      </c>
      <c r="AR249" s="25">
        <f t="shared" si="111"/>
        <v>0</v>
      </c>
      <c r="AS249" s="25">
        <f t="shared" si="112"/>
        <v>0</v>
      </c>
      <c r="AT249" s="25">
        <f t="shared" si="113"/>
        <v>0</v>
      </c>
      <c r="AU249" s="25">
        <f t="shared" si="114"/>
        <v>0</v>
      </c>
      <c r="AV249" s="25">
        <f t="shared" si="115"/>
        <v>0</v>
      </c>
      <c r="AW249" s="25">
        <f t="shared" si="116"/>
        <v>0</v>
      </c>
      <c r="AX249" s="25">
        <f t="shared" si="117"/>
        <v>0</v>
      </c>
      <c r="AY249" s="25">
        <f t="shared" si="118"/>
        <v>0</v>
      </c>
      <c r="AZ249" s="25">
        <f t="shared" si="119"/>
        <v>0</v>
      </c>
      <c r="BA249" s="25">
        <f t="shared" si="120"/>
        <v>0</v>
      </c>
      <c r="BB249" s="25">
        <f t="shared" si="121"/>
        <v>0</v>
      </c>
      <c r="BC249" s="25">
        <f t="shared" si="122"/>
        <v>0</v>
      </c>
      <c r="BD249" s="25">
        <f t="shared" si="123"/>
        <v>0</v>
      </c>
      <c r="BE249" s="25">
        <f t="shared" si="124"/>
        <v>0</v>
      </c>
      <c r="BF249" s="25">
        <f t="shared" si="125"/>
        <v>0</v>
      </c>
    </row>
    <row r="250" spans="1:58" s="25" customFormat="1" ht="15" customHeight="1" x14ac:dyDescent="0.25">
      <c r="A250" s="39" t="s">
        <v>326</v>
      </c>
      <c r="B250" s="40">
        <f t="shared" ref="B250" si="128">AE250</f>
        <v>56487.819999999992</v>
      </c>
      <c r="C250" s="40">
        <f t="shared" ref="C250" si="129">AF250</f>
        <v>17189.439999999999</v>
      </c>
      <c r="D250" s="40">
        <f t="shared" ref="D250" si="130">AG250</f>
        <v>831.17000000000007</v>
      </c>
      <c r="E250" s="40">
        <f t="shared" ref="E250" si="131">AH250</f>
        <v>10126.870000000001</v>
      </c>
      <c r="F250" s="40">
        <f t="shared" ref="F250" si="132">AI250</f>
        <v>32661.549999999996</v>
      </c>
      <c r="G250" s="40">
        <f t="shared" ref="G250" si="133">AJ250</f>
        <v>3765.18</v>
      </c>
      <c r="H250" s="40">
        <f t="shared" ref="H250" si="134">AK250</f>
        <v>17726.560000000001</v>
      </c>
      <c r="I250" s="40">
        <f t="shared" ref="I250" si="135">AL250</f>
        <v>15857.730000000005</v>
      </c>
      <c r="J250" s="40">
        <f t="shared" ref="J250" si="136">AM250</f>
        <v>75696.620000000039</v>
      </c>
      <c r="K250" s="40">
        <f t="shared" ref="K250" si="137">AN250</f>
        <v>0</v>
      </c>
      <c r="L250" s="40">
        <f t="shared" ref="L250" si="138">AO250</f>
        <v>6941.9000000000005</v>
      </c>
      <c r="M250" s="40">
        <f t="shared" ref="M250" si="139">AP250</f>
        <v>2654.6800000000003</v>
      </c>
      <c r="N250" s="40">
        <f t="shared" ref="N250" si="140">AQ250</f>
        <v>0</v>
      </c>
      <c r="O250" s="40">
        <f t="shared" ref="O250" si="141">AR250</f>
        <v>444.72</v>
      </c>
      <c r="P250" s="40">
        <f t="shared" ref="P250" si="142">AS250</f>
        <v>6004.869999999999</v>
      </c>
      <c r="Q250" s="40">
        <f t="shared" ref="Q250" si="143">AT250</f>
        <v>1489.28</v>
      </c>
      <c r="R250" s="40">
        <f t="shared" ref="R250" si="144">AU250</f>
        <v>7206.3</v>
      </c>
      <c r="S250" s="40">
        <f t="shared" ref="S250" si="145">AV250</f>
        <v>23458.619999999995</v>
      </c>
      <c r="T250" s="40">
        <f t="shared" ref="T250" si="146">AW250</f>
        <v>5172.24</v>
      </c>
      <c r="U250" s="40">
        <f t="shared" ref="U250" si="147">AX250</f>
        <v>9219.2400000000016</v>
      </c>
      <c r="V250" s="40">
        <f t="shared" ref="V250" si="148">AY250</f>
        <v>7231.57</v>
      </c>
      <c r="W250" s="40">
        <f t="shared" ref="W250" si="149">AZ250</f>
        <v>6886.05</v>
      </c>
      <c r="X250" s="40">
        <f t="shared" ref="X250" si="150">BA250</f>
        <v>2079.8200000000002</v>
      </c>
      <c r="Y250" s="40">
        <f t="shared" ref="Y250" si="151">BB250</f>
        <v>5804.1</v>
      </c>
      <c r="Z250" s="40">
        <f t="shared" ref="Z250" si="152">BC250</f>
        <v>2935.23</v>
      </c>
      <c r="AA250" s="40">
        <f t="shared" ref="AA250" si="153">BD250</f>
        <v>7264.18</v>
      </c>
      <c r="AB250" s="40">
        <f t="shared" ref="AB250" si="154">BE250</f>
        <v>32108.460000000003</v>
      </c>
      <c r="AC250" s="40">
        <f t="shared" ref="AC250" si="155">BF250</f>
        <v>43588.159999999989</v>
      </c>
      <c r="AE250" s="25">
        <f t="shared" ref="AE250:BA250" si="156">SUM(AE5:AE249)</f>
        <v>56487.819999999992</v>
      </c>
      <c r="AF250" s="25">
        <f t="shared" si="156"/>
        <v>17189.439999999999</v>
      </c>
      <c r="AG250" s="25">
        <f t="shared" si="156"/>
        <v>831.17000000000007</v>
      </c>
      <c r="AH250" s="25">
        <f t="shared" si="156"/>
        <v>10126.870000000001</v>
      </c>
      <c r="AI250" s="25">
        <f t="shared" si="156"/>
        <v>32661.549999999996</v>
      </c>
      <c r="AJ250" s="25">
        <f t="shared" si="156"/>
        <v>3765.18</v>
      </c>
      <c r="AK250" s="25">
        <f t="shared" si="156"/>
        <v>17726.560000000001</v>
      </c>
      <c r="AL250" s="25">
        <f t="shared" si="156"/>
        <v>15857.730000000005</v>
      </c>
      <c r="AM250" s="25">
        <f t="shared" si="156"/>
        <v>75696.620000000039</v>
      </c>
      <c r="AN250" s="25">
        <f t="shared" si="156"/>
        <v>0</v>
      </c>
      <c r="AO250" s="25">
        <f t="shared" si="156"/>
        <v>6941.9000000000005</v>
      </c>
      <c r="AP250" s="25">
        <f t="shared" si="156"/>
        <v>2654.6800000000003</v>
      </c>
      <c r="AQ250" s="25">
        <f t="shared" si="156"/>
        <v>0</v>
      </c>
      <c r="AR250" s="25">
        <f t="shared" si="156"/>
        <v>444.72</v>
      </c>
      <c r="AS250" s="25">
        <f t="shared" si="156"/>
        <v>6004.869999999999</v>
      </c>
      <c r="AT250" s="25">
        <f t="shared" si="156"/>
        <v>1489.28</v>
      </c>
      <c r="AU250" s="25">
        <f t="shared" si="156"/>
        <v>7206.3</v>
      </c>
      <c r="AV250" s="25">
        <f t="shared" si="156"/>
        <v>23458.619999999995</v>
      </c>
      <c r="AW250" s="25">
        <f t="shared" si="156"/>
        <v>5172.24</v>
      </c>
      <c r="AX250" s="25">
        <f t="shared" si="156"/>
        <v>9219.2400000000016</v>
      </c>
      <c r="AY250" s="25">
        <f t="shared" si="156"/>
        <v>7231.57</v>
      </c>
      <c r="AZ250" s="25">
        <f t="shared" si="156"/>
        <v>6886.05</v>
      </c>
      <c r="BA250" s="25">
        <f t="shared" si="156"/>
        <v>2079.8200000000002</v>
      </c>
      <c r="BB250" s="25">
        <f t="shared" ref="BB250:BF250" si="157">SUM(BB5:BB249)</f>
        <v>5804.1</v>
      </c>
      <c r="BC250" s="25">
        <f t="shared" si="157"/>
        <v>2935.23</v>
      </c>
      <c r="BD250" s="25">
        <f t="shared" si="157"/>
        <v>7264.18</v>
      </c>
      <c r="BE250" s="25">
        <f t="shared" si="157"/>
        <v>32108.460000000003</v>
      </c>
      <c r="BF250" s="25">
        <f t="shared" si="157"/>
        <v>43588.159999999989</v>
      </c>
    </row>
    <row r="251" spans="1:58" s="25" customFormat="1" ht="15" customHeight="1" x14ac:dyDescent="0.25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</sheetData>
  <mergeCells count="32">
    <mergeCell ref="O3:O4"/>
    <mergeCell ref="S3:S4"/>
    <mergeCell ref="F3:F4"/>
    <mergeCell ref="T3:T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P3:P4"/>
    <mergeCell ref="Q3:Q4"/>
    <mergeCell ref="R3:R4"/>
    <mergeCell ref="C1:I1"/>
    <mergeCell ref="L1:AA1"/>
    <mergeCell ref="AD2:AD4"/>
    <mergeCell ref="AO3:AO4"/>
    <mergeCell ref="AC2:AC4"/>
    <mergeCell ref="J2:J4"/>
    <mergeCell ref="L3:L4"/>
    <mergeCell ref="X3:X4"/>
    <mergeCell ref="AB2:AB4"/>
    <mergeCell ref="M3:M4"/>
    <mergeCell ref="U3:U4"/>
    <mergeCell ref="W3:W4"/>
    <mergeCell ref="V3:V4"/>
    <mergeCell ref="Y3:Y4"/>
    <mergeCell ref="Z3:Z4"/>
    <mergeCell ref="AA3:AA4"/>
  </mergeCells>
  <conditionalFormatting sqref="AC5:AD249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764C60684DF4CB311E8C6DB824A31" ma:contentTypeVersion="12" ma:contentTypeDescription="Crie um novo documento." ma:contentTypeScope="" ma:versionID="81926f47a187cc63a92412ba9893c017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6c744e4b291dae32e38cda089848b113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6BA7A8F-701B-4BD3-8EBF-76CA05E61F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df8778-9569-40ed-9bf8-0f223cbd7521"/>
    <ds:schemaRef ds:uri="46728323-6609-471b-b746-bd6c0af090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C898E8-4FC5-4A83-B96B-9F1DBDBE6043}">
  <ds:schemaRefs>
    <ds:schemaRef ds:uri="http://schemas.microsoft.com/office/2006/metadata/properties"/>
    <ds:schemaRef ds:uri="http://schemas.microsoft.com/office/infopath/2007/PartnerControls"/>
    <ds:schemaRef ds:uri="6ddf8778-9569-40ed-9bf8-0f223cbd7521"/>
    <ds:schemaRef ds:uri="46728323-6609-471b-b746-bd6c0af0902a"/>
  </ds:schemaRefs>
</ds:datastoreItem>
</file>

<file path=customXml/itemProps3.xml><?xml version="1.0" encoding="utf-8"?>
<ds:datastoreItem xmlns:ds="http://schemas.openxmlformats.org/officeDocument/2006/customXml" ds:itemID="{2CB6295A-3589-48F1-948F-179E4C7C3BF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RESUMO</vt:lpstr>
      <vt:lpstr>RelListagemEquip</vt:lpstr>
      <vt:lpstr>Planilha1</vt:lpstr>
      <vt:lpstr>RESUMO!Area_de_impressao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>Giancarlo Gavazza</cp:lastModifiedBy>
  <cp:revision>4</cp:revision>
  <dcterms:created xsi:type="dcterms:W3CDTF">2025-02-24T11:54:02Z</dcterms:created>
  <dcterms:modified xsi:type="dcterms:W3CDTF">2026-03-23T12:02:01Z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