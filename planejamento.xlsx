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MO" sheetId="1" state="visible" r:id="rId3"/>
    <sheet name="RelListagemEquip" sheetId="2" state="visible" r:id="rId4"/>
    <sheet name="Planilha1" sheetId="3" state="visible" r:id="rId5"/>
  </sheets>
  <definedNames>
    <definedName function="false" hidden="false" localSheetId="0" name="_xlnm.Print_Area" vbProcedure="false">RESUMO!$B$4:$D$4</definedName>
    <definedName function="false" hidden="false" localSheetId="0" name="Print_Area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<sst xmlns="http://schemas.openxmlformats.org/spreadsheetml/2006/main" count="328" uniqueCount="320">
  <si>
    <t xml:space="preserve">SALDO UNIDADE</t>
  </si>
  <si>
    <t xml:space="preserve">GEPLANO</t>
  </si>
  <si>
    <t xml:space="preserve">MIRKO</t>
  </si>
  <si>
    <t xml:space="preserve">ASPEN</t>
  </si>
  <si>
    <t xml:space="preserve">PILAR</t>
  </si>
  <si>
    <t xml:space="preserve">LUCIANA</t>
  </si>
  <si>
    <t xml:space="preserve">MODUS</t>
  </si>
  <si>
    <t xml:space="preserve">ALESSANDRA</t>
  </si>
  <si>
    <t xml:space="preserve">CARONE</t>
  </si>
  <si>
    <t xml:space="preserve">VIA FORTE</t>
  </si>
  <si>
    <t xml:space="preserve">TEATRO</t>
  </si>
  <si>
    <t xml:space="preserve">BRISAS</t>
  </si>
  <si>
    <t xml:space="preserve">CONTRATO: 130/2025
CHEGADA: 24/12</t>
  </si>
  <si>
    <t xml:space="preserve">CONTRATO: 107/2025
CHEGADA: 05/01</t>
  </si>
  <si>
    <t xml:space="preserve">CONTRATO: 141/2025
CHEGADA: 07/01</t>
  </si>
  <si>
    <t xml:space="preserve">CONTRATO: 149/2025
CHEGADA: 12/01</t>
  </si>
  <si>
    <t xml:space="preserve">CONTRATO: 126/2025
CHEGADA: 12/01</t>
  </si>
  <si>
    <t xml:space="preserve">CONTRATO: 147/2025
CHEGADA: 02/02</t>
  </si>
  <si>
    <t xml:space="preserve">CONTRATO: 150/2025
CHEGADA: 17/02</t>
  </si>
  <si>
    <t xml:space="preserve">CONTRATO: 130/2025
CHEGADA: 05/03</t>
  </si>
  <si>
    <t xml:space="preserve">CONTRATO: 126/2025
CHEGADA: 20/03</t>
  </si>
  <si>
    <t xml:space="preserve">CONTRATO: 146/2025
SAÍDA: 29/12</t>
  </si>
  <si>
    <t xml:space="preserve">RESIDÊNCIA AMAURY
SAÍDA: 05/01</t>
  </si>
  <si>
    <t xml:space="preserve">CONTRATO: 157/2025
SAÍDA: 05/01</t>
  </si>
  <si>
    <t xml:space="preserve">CONTRATO: 135/2025
SAÍDA: 07/01</t>
  </si>
  <si>
    <t xml:space="preserve">CONTRATO: 146/2025
SAÍDA: 08/01</t>
  </si>
  <si>
    <t xml:space="preserve">CONTRATO: 154/2025
SAÍDA: 08/01</t>
  </si>
  <si>
    <t xml:space="preserve">CONTRATO: 126/225
SAÍDA: 12/01</t>
  </si>
  <si>
    <t xml:space="preserve">QUALITY ANGELA BARBOSA
SAÍDA: 30/01</t>
  </si>
  <si>
    <t xml:space="preserve">QUALITY EVERSON DADALTO
SAÍDA: 02/02</t>
  </si>
  <si>
    <t xml:space="preserve">VIX HAUSER OBRA NOVA
SAÍDA: 15/02</t>
  </si>
  <si>
    <t xml:space="preserve">DATA:</t>
  </si>
  <si>
    <t xml:space="preserve">PESO:</t>
  </si>
  <si>
    <t xml:space="preserve">*espiral</t>
  </si>
  <si>
    <t xml:space="preserve">*geplano 4 ton</t>
  </si>
  <si>
    <t xml:space="preserve">saídas</t>
  </si>
  <si>
    <t xml:space="preserve">EQUIPAMENTO</t>
  </si>
  <si>
    <t xml:space="preserve">SALDO UNIDADE HOJE</t>
  </si>
  <si>
    <t xml:space="preserve">INCOLAJES</t>
  </si>
  <si>
    <t xml:space="preserve">DW CARONE</t>
  </si>
  <si>
    <t xml:space="preserve">OTAMERICA</t>
  </si>
  <si>
    <t xml:space="preserve">MIX CAR</t>
  </si>
  <si>
    <t xml:space="preserve">SALDO FUTURO </t>
  </si>
  <si>
    <t xml:space="preserve">IDALBERTO MORO</t>
  </si>
  <si>
    <t xml:space="preserve">LINDENBERG</t>
  </si>
  <si>
    <t xml:space="preserve">OLAM TRAV</t>
  </si>
  <si>
    <t xml:space="preserve">OLAM ESC</t>
  </si>
  <si>
    <t xml:space="preserve">GEPLANO - GALERIA</t>
  </si>
  <si>
    <t xml:space="preserve">CADETE | TRAV.</t>
  </si>
  <si>
    <t xml:space="preserve">CADETE | ELV 1</t>
  </si>
  <si>
    <t xml:space="preserve">CADETE | ELV 2</t>
  </si>
  <si>
    <t xml:space="preserve">AMARY</t>
  </si>
  <si>
    <t xml:space="preserve">CONTRACTOR | PIRULITOS + PAR 1</t>
  </si>
  <si>
    <t xml:space="preserve">CONTRACTOR | ESC. + PAR2,3,5,6</t>
  </si>
  <si>
    <t xml:space="preserve">QUANTIDADE TOTAL</t>
  </si>
  <si>
    <t xml:space="preserve">SALDO</t>
  </si>
  <si>
    <t xml:space="preserve">PESO UNITÁRIO</t>
  </si>
  <si>
    <t xml:space="preserve">CONTRATO: 150/2025
CHEGADA: 23/03</t>
  </si>
  <si>
    <t xml:space="preserve">CONTRATO: 160/2025
CHEGADA: 10/04</t>
  </si>
  <si>
    <t xml:space="preserve">CONTRATO: 146/2025
CHEGADA: 05/04</t>
  </si>
  <si>
    <t xml:space="preserve">CONTRATO: 167/2025
CHEGADA: 03/04</t>
  </si>
  <si>
    <t xml:space="preserve">CONTRATO: 157/2025
CHEGADA: 27/03</t>
  </si>
  <si>
    <t xml:space="preserve">CONTRATO: 135/2025
SAÍDA: 28/03</t>
  </si>
  <si>
    <t xml:space="preserve">CONTRATO: 173/2025
SAÍDA: 05/04</t>
  </si>
  <si>
    <t xml:space="preserve">CONTRATO: 164/2025
SAÍDA: 30/03</t>
  </si>
  <si>
    <t xml:space="preserve">CONTRATO: XXX/2025
SAÍDA: 01/04</t>
  </si>
  <si>
    <t xml:space="preserve">CONTRATO: XXX/2025
SAÍDA: 24/03</t>
  </si>
  <si>
    <t xml:space="preserve">CONTRATO: 
XXX/2026
SAÍDA: 25/03</t>
  </si>
  <si>
    <t xml:space="preserve">CONTRATO: 
XXX/2026
SAÍDA: 01/04</t>
  </si>
  <si>
    <t xml:space="preserve">CONTRATO: 
XXX/2026
SAÍDA: 04/04</t>
  </si>
  <si>
    <t xml:space="preserve">CONTRATO: 
XXX/2026
SAÍDA: 05/04</t>
  </si>
  <si>
    <t xml:space="preserve">CONTRATO: 158/2025
SAÍDA: 06/04</t>
  </si>
  <si>
    <t xml:space="preserve">CONTRATO: XXX/2026
SAÍDA: 07/04</t>
  </si>
  <si>
    <t xml:space="preserve">CONTRATO: XXX/2026
SAÍDA: 08/04</t>
  </si>
  <si>
    <t xml:space="preserve">APRUMADOR S/350</t>
  </si>
  <si>
    <t xml:space="preserve">ARCO DE GC</t>
  </si>
  <si>
    <t xml:space="preserve">BAG</t>
  </si>
  <si>
    <t xml:space="preserve">BARRA DE LIGAÇÃO FCH 90</t>
  </si>
  <si>
    <t xml:space="preserve">BARRA S050</t>
  </si>
  <si>
    <t xml:space="preserve">BARRA S075</t>
  </si>
  <si>
    <t xml:space="preserve">BARRA S075 E</t>
  </si>
  <si>
    <t xml:space="preserve">BARRA S100</t>
  </si>
  <si>
    <t xml:space="preserve">BARRA S100 E</t>
  </si>
  <si>
    <t xml:space="preserve">BARRA S100 SUPER</t>
  </si>
  <si>
    <t xml:space="preserve">BARRA S150</t>
  </si>
  <si>
    <t xml:space="preserve">BARRA S150 E</t>
  </si>
  <si>
    <t xml:space="preserve">BARRA S200 E</t>
  </si>
  <si>
    <t xml:space="preserve">BARRA S250 E</t>
  </si>
  <si>
    <t xml:space="preserve">BARRA S300</t>
  </si>
  <si>
    <t xml:space="preserve">BASE DE ANCORAGEM</t>
  </si>
  <si>
    <t xml:space="preserve">BASE FIXA E</t>
  </si>
  <si>
    <t xml:space="preserve">BASE FIXA LEV</t>
  </si>
  <si>
    <t xml:space="preserve">BASE FIXA S</t>
  </si>
  <si>
    <t xml:space="preserve">BASE REGULAVEL 30S</t>
  </si>
  <si>
    <t xml:space="preserve">BASE REGULAVEL 32S</t>
  </si>
  <si>
    <t xml:space="preserve">BASE REGULAVEL 45S</t>
  </si>
  <si>
    <t xml:space="preserve">BRAÇADEIRA FIXA 48</t>
  </si>
  <si>
    <t xml:space="preserve">BRAÇADEIRA FIXA S</t>
  </si>
  <si>
    <t xml:space="preserve">BRAÇADEIRA FIXA X</t>
  </si>
  <si>
    <t xml:space="preserve">BRAÇADEIRA FIXA X E</t>
  </si>
  <si>
    <t xml:space="preserve">BRAÇADEIRA GIRATÓRIA S</t>
  </si>
  <si>
    <t xml:space="preserve">BRAÇADEIRA GIRATÓRIA X</t>
  </si>
  <si>
    <t xml:space="preserve">CANTO 150X100 SIMPLES</t>
  </si>
  <si>
    <t xml:space="preserve">CANTO 150X150 DUPLO</t>
  </si>
  <si>
    <t xml:space="preserve">CANTO 150X150 SIMPLES</t>
  </si>
  <si>
    <t xml:space="preserve">CANTO 150X200 DUPLO</t>
  </si>
  <si>
    <t xml:space="preserve">CHAVE DE CATRACA</t>
  </si>
  <si>
    <t xml:space="preserve">CONECTOR S</t>
  </si>
  <si>
    <t xml:space="preserve">CONECTOR S N</t>
  </si>
  <si>
    <t xml:space="preserve">CRUZETA 135/155 S</t>
  </si>
  <si>
    <t xml:space="preserve">CRUZETA 155 N</t>
  </si>
  <si>
    <t xml:space="preserve">DEGRAU DE ESCADA PATAMAR DUPLO S</t>
  </si>
  <si>
    <t xml:space="preserve">DEGRAU DE ESCADA PATAMAR S</t>
  </si>
  <si>
    <t xml:space="preserve">DIAGONAL 100x200 - 2,25</t>
  </si>
  <si>
    <t xml:space="preserve">DIAGONAL 120X200 - 2,32</t>
  </si>
  <si>
    <t xml:space="preserve">DIAGONAL 170x200 - 2,60</t>
  </si>
  <si>
    <t xml:space="preserve">DIAGONAL 220x200 - 2,97</t>
  </si>
  <si>
    <t xml:space="preserve">DIAGONAL 295 P/220</t>
  </si>
  <si>
    <t xml:space="preserve">DIAGONAL FCH 90</t>
  </si>
  <si>
    <t xml:space="preserve">DIAGONAL HORIZONTAL LEV 155</t>
  </si>
  <si>
    <t xml:space="preserve">DIAGONAL PAINEL 1,50m</t>
  </si>
  <si>
    <t xml:space="preserve">ESCADA ENTRADA/SAÍDA S200</t>
  </si>
  <si>
    <t xml:space="preserve">ESCADA LEV 200</t>
  </si>
  <si>
    <t xml:space="preserve">ESCADA S200</t>
  </si>
  <si>
    <t xml:space="preserve">ESCORA FÊMEA EURO</t>
  </si>
  <si>
    <t xml:space="preserve">ESCORA FÊMEA J320</t>
  </si>
  <si>
    <t xml:space="preserve">ESCORA FÊMEA J450</t>
  </si>
  <si>
    <t xml:space="preserve">ESCORA FÊMEA MÁX</t>
  </si>
  <si>
    <t xml:space="preserve">ESCORA FÊMEA MÁX -J</t>
  </si>
  <si>
    <t xml:space="preserve">ESCORA FEMEA S3 E</t>
  </si>
  <si>
    <t xml:space="preserve">ESCORA FÊMEA S350</t>
  </si>
  <si>
    <t xml:space="preserve">ESCORA MACHO EURO</t>
  </si>
  <si>
    <t xml:space="preserve">ESCORA MACHO J320</t>
  </si>
  <si>
    <t xml:space="preserve">ESCORA MACHO J450</t>
  </si>
  <si>
    <t xml:space="preserve">ESCORA MACHO MÁX</t>
  </si>
  <si>
    <t xml:space="preserve">ESCORA MACHO MÁX -J</t>
  </si>
  <si>
    <t xml:space="preserve">ESCORA MACHO S3 E</t>
  </si>
  <si>
    <t xml:space="preserve">ESCORA MACHO S350</t>
  </si>
  <si>
    <t xml:space="preserve">ESCORA S320</t>
  </si>
  <si>
    <t xml:space="preserve">ESCORA S320 EURO</t>
  </si>
  <si>
    <t xml:space="preserve">FORCADO DUPLO S</t>
  </si>
  <si>
    <t xml:space="preserve">FORCADO DUPLO S20</t>
  </si>
  <si>
    <t xml:space="preserve">FORCADO REGULÁVEL 48 E</t>
  </si>
  <si>
    <t xml:space="preserve">FORCADO REGULÁVEL E</t>
  </si>
  <si>
    <t xml:space="preserve">FORCADO REGULÁVEL S</t>
  </si>
  <si>
    <t xml:space="preserve">FORCADO REGULÁVEL S20</t>
  </si>
  <si>
    <t xml:space="preserve">FORCADO REGULÁVEL S20 E</t>
  </si>
  <si>
    <t xml:space="preserve">FORCADO SIMPLES S</t>
  </si>
  <si>
    <t xml:space="preserve">FORCADO SIMPLES S20</t>
  </si>
  <si>
    <t xml:space="preserve">GUARDA CORPO 150 C/ PORTA</t>
  </si>
  <si>
    <t xml:space="preserve">GUARDA CORPO 150 S/ PORTA</t>
  </si>
  <si>
    <t xml:space="preserve">GUARDA CORPO FCH 90</t>
  </si>
  <si>
    <t xml:space="preserve">LUVA 42 S</t>
  </si>
  <si>
    <t xml:space="preserve">LUVA 48 S</t>
  </si>
  <si>
    <t xml:space="preserve">LUVA S</t>
  </si>
  <si>
    <t xml:space="preserve">LUVA WATERSTOP 5/8"</t>
  </si>
  <si>
    <t xml:space="preserve">PAINEL 150/100</t>
  </si>
  <si>
    <t xml:space="preserve">PARAFUSO DE ESCORA</t>
  </si>
  <si>
    <t xml:space="preserve">PERFIL L14 150</t>
  </si>
  <si>
    <t xml:space="preserve">PERFIL L14 200</t>
  </si>
  <si>
    <t xml:space="preserve">PERFIL L14 400</t>
  </si>
  <si>
    <t xml:space="preserve">PERFIL S10 100</t>
  </si>
  <si>
    <t xml:space="preserve">PERFIL S10 150</t>
  </si>
  <si>
    <t xml:space="preserve">PERFIL S10 200</t>
  </si>
  <si>
    <t xml:space="preserve">PERFIL S10 250</t>
  </si>
  <si>
    <t xml:space="preserve">PERFIL S10 300</t>
  </si>
  <si>
    <t xml:space="preserve">PERFIL S12 450</t>
  </si>
  <si>
    <t xml:space="preserve">PERFIL S12-150</t>
  </si>
  <si>
    <t xml:space="preserve">PERFIL S20 145</t>
  </si>
  <si>
    <t xml:space="preserve">PERFIL S20 195</t>
  </si>
  <si>
    <t xml:space="preserve">PERFIL S20 245</t>
  </si>
  <si>
    <t xml:space="preserve">PERFIL S20 250 E</t>
  </si>
  <si>
    <t xml:space="preserve">PERFIL S20 290</t>
  </si>
  <si>
    <t xml:space="preserve">PERFIL S20 330</t>
  </si>
  <si>
    <t xml:space="preserve">PERFIL S20 350 E</t>
  </si>
  <si>
    <t xml:space="preserve">PERFIL S20 360</t>
  </si>
  <si>
    <t xml:space="preserve">PERFIL S20 390</t>
  </si>
  <si>
    <t xml:space="preserve">PERFIL S20 400 E</t>
  </si>
  <si>
    <t xml:space="preserve">PERFIL S20 450</t>
  </si>
  <si>
    <t xml:space="preserve">PERFIL S20 450 E</t>
  </si>
  <si>
    <t xml:space="preserve">PERFIL S20 490</t>
  </si>
  <si>
    <t xml:space="preserve">PERFIL S20 590</t>
  </si>
  <si>
    <t xml:space="preserve">PERFIL S5 100</t>
  </si>
  <si>
    <t xml:space="preserve">PERFIL S5 150</t>
  </si>
  <si>
    <t xml:space="preserve">PERFIL S6 100</t>
  </si>
  <si>
    <t xml:space="preserve">PERFIL S6 150</t>
  </si>
  <si>
    <t xml:space="preserve">PERFIL S6 300</t>
  </si>
  <si>
    <t xml:space="preserve">PERFIL S8 100</t>
  </si>
  <si>
    <t xml:space="preserve">PERFIL S8 100 E</t>
  </si>
  <si>
    <t xml:space="preserve">PERFIL S8 150</t>
  </si>
  <si>
    <t xml:space="preserve">PERFIL S8 150 E</t>
  </si>
  <si>
    <t xml:space="preserve">PERFIL S8 200</t>
  </si>
  <si>
    <t xml:space="preserve">PERFIL S8 200 E</t>
  </si>
  <si>
    <t xml:space="preserve">PERFIL S8 220</t>
  </si>
  <si>
    <t xml:space="preserve">PERFIL S8 250</t>
  </si>
  <si>
    <t xml:space="preserve">PERFIL S8 250 E</t>
  </si>
  <si>
    <t xml:space="preserve">PERFIL S8 280</t>
  </si>
  <si>
    <t xml:space="preserve">PERFIL S8 300</t>
  </si>
  <si>
    <t xml:space="preserve">PERFIL S8 300 E</t>
  </si>
  <si>
    <t xml:space="preserve">PERFIL S8 350</t>
  </si>
  <si>
    <t xml:space="preserve">PERFIL S8 350 E</t>
  </si>
  <si>
    <t xml:space="preserve">PERFIL S8 400</t>
  </si>
  <si>
    <t xml:space="preserve">PERFIL S8 400 E</t>
  </si>
  <si>
    <t xml:space="preserve">PERFIL W150-150</t>
  </si>
  <si>
    <t xml:space="preserve">PERFIL W200-300</t>
  </si>
  <si>
    <t xml:space="preserve">PERFIL W200-600</t>
  </si>
  <si>
    <t xml:space="preserve">PERFIL W310-600</t>
  </si>
  <si>
    <t xml:space="preserve">PINO EURO</t>
  </si>
  <si>
    <t xml:space="preserve">PINO J320</t>
  </si>
  <si>
    <t xml:space="preserve">PINO J450</t>
  </si>
  <si>
    <t xml:space="preserve">PINO MÁX</t>
  </si>
  <si>
    <t xml:space="preserve">PINO MÁX- J</t>
  </si>
  <si>
    <t xml:space="preserve">PINO S3 E</t>
  </si>
  <si>
    <t xml:space="preserve">PINO S350</t>
  </si>
  <si>
    <t xml:space="preserve">PISO ALCAPÃO FCH 90 - 60X250</t>
  </si>
  <si>
    <t xml:space="preserve">PISO METALICO 30X250</t>
  </si>
  <si>
    <t xml:space="preserve">PISO METALICO 37X150</t>
  </si>
  <si>
    <t xml:space="preserve">PISO METALICO S100</t>
  </si>
  <si>
    <t xml:space="preserve">PISO METALICO S150</t>
  </si>
  <si>
    <t xml:space="preserve">PISO METALICO S200</t>
  </si>
  <si>
    <t xml:space="preserve">PISO METALICO S220</t>
  </si>
  <si>
    <t xml:space="preserve">PISO METALICO S250</t>
  </si>
  <si>
    <t xml:space="preserve">PISO METALICO S300</t>
  </si>
  <si>
    <t xml:space="preserve">PORCA S</t>
  </si>
  <si>
    <t xml:space="preserve">PORCA S E</t>
  </si>
  <si>
    <t xml:space="preserve">POSTE S100</t>
  </si>
  <si>
    <t xml:space="preserve">POSTE S150</t>
  </si>
  <si>
    <t xml:space="preserve">POSTE S200</t>
  </si>
  <si>
    <t xml:space="preserve">POSTE S250</t>
  </si>
  <si>
    <t xml:space="preserve">POSTE S300</t>
  </si>
  <si>
    <t xml:space="preserve">PRANCHÃO 30X100</t>
  </si>
  <si>
    <t xml:space="preserve">PRANCHÃO 30X150</t>
  </si>
  <si>
    <t xml:space="preserve">PRANCHÃO 30X200</t>
  </si>
  <si>
    <t xml:space="preserve">PRANCHÃO 30X220</t>
  </si>
  <si>
    <t xml:space="preserve">PRANCHÃO 30X225</t>
  </si>
  <si>
    <t xml:space="preserve">PRANCHÃO 30X250</t>
  </si>
  <si>
    <t xml:space="preserve">PRANCHÃO 30X300</t>
  </si>
  <si>
    <t xml:space="preserve">PROLONGADOR DE QUADRO 025</t>
  </si>
  <si>
    <t xml:space="preserve">QUADRO FCH 90 C/ ESCADA</t>
  </si>
  <si>
    <t xml:space="preserve">QUADRO FCH 90 S/ ESCADA</t>
  </si>
  <si>
    <t xml:space="preserve">QUADRO LEV 100-2</t>
  </si>
  <si>
    <t xml:space="preserve">QUADRO LEV 125-2</t>
  </si>
  <si>
    <t xml:space="preserve">QUADRO LEV 125-2 N</t>
  </si>
  <si>
    <t xml:space="preserve">QUADRO LEV 200-2</t>
  </si>
  <si>
    <t xml:space="preserve">QUEBRA VÃO 100</t>
  </si>
  <si>
    <t xml:space="preserve">QUEBRA VÃO 120</t>
  </si>
  <si>
    <t xml:space="preserve">RODAPÉ 250 FCH 90</t>
  </si>
  <si>
    <t xml:space="preserve">RODAPE FIBRA 150</t>
  </si>
  <si>
    <t xml:space="preserve">RODAPE FIBRA 200</t>
  </si>
  <si>
    <t xml:space="preserve">RODAPE FIBRA 250</t>
  </si>
  <si>
    <t xml:space="preserve">RODIZIO DE BORRACHA</t>
  </si>
  <si>
    <t xml:space="preserve">RODIZIO DE BORRACHA S</t>
  </si>
  <si>
    <t xml:space="preserve">SUPORTE DE ESCADA LD S</t>
  </si>
  <si>
    <t xml:space="preserve">SUPORTE DE ESCADA LE S</t>
  </si>
  <si>
    <t xml:space="preserve">SUPORTE DE FORCADO</t>
  </si>
  <si>
    <t xml:space="preserve">TERMINAL GUARDA CORPO S200</t>
  </si>
  <si>
    <t xml:space="preserve">TERMINAL GUARDACORPO COM BRAÇADEIRA</t>
  </si>
  <si>
    <t xml:space="preserve">TRAVESSA S080</t>
  </si>
  <si>
    <t xml:space="preserve">TRAVESSA S100</t>
  </si>
  <si>
    <t xml:space="preserve">TRAVESSA S120</t>
  </si>
  <si>
    <t xml:space="preserve">TRAVESSA S170</t>
  </si>
  <si>
    <t xml:space="preserve">TRAVESSA S220</t>
  </si>
  <si>
    <t xml:space="preserve">TRAVESSA S240</t>
  </si>
  <si>
    <t xml:space="preserve">TRAVESSA S250</t>
  </si>
  <si>
    <t xml:space="preserve">TRIPÉ ARTICULADO</t>
  </si>
  <si>
    <t xml:space="preserve">TRIPÉ FIXO</t>
  </si>
  <si>
    <t xml:space="preserve">TUBO 42/025</t>
  </si>
  <si>
    <t xml:space="preserve">TUBO 42/050</t>
  </si>
  <si>
    <t xml:space="preserve">TUBO 42/075</t>
  </si>
  <si>
    <t xml:space="preserve">TUBO 42/300</t>
  </si>
  <si>
    <t xml:space="preserve">TUBO 48/025</t>
  </si>
  <si>
    <t xml:space="preserve">TUBO 48/050</t>
  </si>
  <si>
    <t xml:space="preserve">TUBO 48/075</t>
  </si>
  <si>
    <t xml:space="preserve">TUBO 48/100</t>
  </si>
  <si>
    <t xml:space="preserve">TUBO 48/125</t>
  </si>
  <si>
    <t xml:space="preserve">TUBO 48/150</t>
  </si>
  <si>
    <t xml:space="preserve">TUBO 48/175</t>
  </si>
  <si>
    <t xml:space="preserve">TUBO 48/200</t>
  </si>
  <si>
    <t xml:space="preserve">TUBO 48/225</t>
  </si>
  <si>
    <t xml:space="preserve">TUBO 48/250</t>
  </si>
  <si>
    <t xml:space="preserve">TUBO 48/275</t>
  </si>
  <si>
    <t xml:space="preserve">TUBO 48/300</t>
  </si>
  <si>
    <t xml:space="preserve">TUBO 48/325</t>
  </si>
  <si>
    <t xml:space="preserve">TUBO 48/350</t>
  </si>
  <si>
    <t xml:space="preserve">TUBO 48/375</t>
  </si>
  <si>
    <t xml:space="preserve">TUBO 48/400</t>
  </si>
  <si>
    <t xml:space="preserve">TUBO 48/450</t>
  </si>
  <si>
    <t xml:space="preserve">TUBO 48/600</t>
  </si>
  <si>
    <t xml:space="preserve">TUBO S025</t>
  </si>
  <si>
    <t xml:space="preserve">TUBO S050</t>
  </si>
  <si>
    <t xml:space="preserve">TUBO S075</t>
  </si>
  <si>
    <t xml:space="preserve">TUBO S100</t>
  </si>
  <si>
    <t xml:space="preserve">TUBO S125</t>
  </si>
  <si>
    <t xml:space="preserve">TUBO S150</t>
  </si>
  <si>
    <t xml:space="preserve">TUBO S175</t>
  </si>
  <si>
    <t xml:space="preserve">TUBO S200</t>
  </si>
  <si>
    <t xml:space="preserve">TUBO S225</t>
  </si>
  <si>
    <t xml:space="preserve">TUBO S250</t>
  </si>
  <si>
    <t xml:space="preserve">TUBO S275</t>
  </si>
  <si>
    <t xml:space="preserve">TUBO S300</t>
  </si>
  <si>
    <t xml:space="preserve">TUBO S325</t>
  </si>
  <si>
    <t xml:space="preserve">TUBO S350</t>
  </si>
  <si>
    <t xml:space="preserve">TUBO S375</t>
  </si>
  <si>
    <t xml:space="preserve">TUBO S400</t>
  </si>
  <si>
    <t xml:space="preserve">TUBO S425</t>
  </si>
  <si>
    <t xml:space="preserve">TUBO S450</t>
  </si>
  <si>
    <t xml:space="preserve">TUBO S475</t>
  </si>
  <si>
    <t xml:space="preserve">TUBO S500</t>
  </si>
  <si>
    <t xml:space="preserve">TUBO S525</t>
  </si>
  <si>
    <t xml:space="preserve">TUBO S550</t>
  </si>
  <si>
    <t xml:space="preserve">TUBO S575</t>
  </si>
  <si>
    <t xml:space="preserve">TUBO S600</t>
  </si>
  <si>
    <t xml:space="preserve">VIGA S20 100-MAD</t>
  </si>
  <si>
    <t xml:space="preserve">VIGA S20 150-MAD</t>
  </si>
  <si>
    <t xml:space="preserve">VIGA S20 175-MAD</t>
  </si>
  <si>
    <t xml:space="preserve">VIGA S20 195-MAD</t>
  </si>
  <si>
    <t xml:space="preserve">VIGA S20 350-MAD</t>
  </si>
  <si>
    <t xml:space="preserve">VIGA S20 390-MAD</t>
  </si>
  <si>
    <t xml:space="preserve">VIGA S20 590-MAD</t>
  </si>
  <si>
    <t xml:space="preserve">Peso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</si>
</sst>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d/mmm"/>
    <numFmt numFmtId="167" formatCode="#,##0.00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1"/>
      <name val="Calibri"/>
      <family val="2"/>
      <charset val="1"/>
    </font>
    <font>
      <sz val="10"/>
      <color rgb="FF000000"/>
      <name val="Arial"/>
      <family val="2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ptos Narrow"/>
      <family val="2"/>
      <charset val="1"/>
    </font>
    <font>
      <u val="single"/>
      <sz val="10"/>
      <color rgb="FF000000"/>
      <name val="Arial"/>
      <family val="0"/>
      <charset val="1"/>
    </font>
    <font>
      <u val="singl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DEE6EF"/>
      </patternFill>
    </fill>
    <fill>
      <patternFill patternType="solid">
        <fgColor rgb="FF999999"/>
        <bgColor rgb="FFA6A6A6"/>
      </patternFill>
    </fill>
    <fill>
      <patternFill patternType="solid">
        <fgColor theme="9" tint="0.5998"/>
        <bgColor rgb="FFFAC090"/>
      </patternFill>
    </fill>
    <fill>
      <patternFill patternType="solid">
        <fgColor rgb="FFDEE6EF"/>
        <bgColor rgb="FFC6D9F1"/>
      </patternFill>
    </fill>
    <fill>
      <patternFill patternType="solid">
        <fgColor theme="9" tint="0.3999"/>
        <bgColor rgb="FFFCD5B5"/>
      </patternFill>
    </fill>
    <fill>
      <patternFill patternType="solid">
        <fgColor theme="4" tint="0.5999"/>
        <bgColor rgb="FFC6D9F1"/>
      </patternFill>
    </fill>
    <fill>
      <patternFill patternType="solid">
        <fgColor theme="0" tint="-0.35"/>
        <bgColor rgb="FFB3B3B3"/>
      </patternFill>
    </fill>
    <fill>
      <patternFill patternType="solid">
        <fgColor theme="3" tint="0.7998"/>
        <bgColor rgb="FFB9CDE5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8" borderId="3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6" borderId="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9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6" borderId="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9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7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A6A6A6"/>
      <rgbColor rgb="FF993366"/>
      <rgbColor rgb="FFFCD5B5"/>
      <rgbColor rgb="FFDEE6E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9CDE5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RESUMO!$A$8:$A$20</c:f>
              <c:numCache>
                <c:formatCode>dd/mm/yy</c:formatCode>
                <c:ptCount val="13"/>
                <c:pt idx="0">
                  <c:v>46015</c:v>
                </c:pt>
                <c:pt idx="1">
                  <c:v>46020</c:v>
                </c:pt>
                <c:pt idx="2">
                  <c:v>46027</c:v>
                </c:pt>
                <c:pt idx="3">
                  <c:v>46029</c:v>
                </c:pt>
                <c:pt idx="4">
                  <c:v>46030</c:v>
                </c:pt>
                <c:pt idx="5">
                  <c:v>46034</c:v>
                </c:pt>
                <c:pt idx="6">
                  <c:v>46052</c:v>
                </c:pt>
                <c:pt idx="7">
                  <c:v>46055</c:v>
                </c:pt>
                <c:pt idx="8">
                  <c:v>46068</c:v>
                </c:pt>
                <c:pt idx="9">
                  <c:v>46070</c:v>
                </c:pt>
                <c:pt idx="10">
                  <c:v>46086</c:v>
                </c:pt>
                <c:pt idx="11">
                  <c:v>46101</c:v>
                </c:pt>
              </c:numCache>
            </c:numRef>
          </c:cat>
          <c:val>
            <c:numRef>
              <c:f>RESUMO!$B$8:$B$20</c:f>
              <c:numCache>
                <c:formatCode>General</c:formatCode>
                <c:ptCount val="13"/>
                <c:pt idx="0">
                  <c:v>88658.95</c:v>
                </c:pt>
                <c:pt idx="1">
                  <c:v>79117.4</c:v>
                </c:pt>
                <c:pt idx="2">
                  <c:v>73025.43</c:v>
                </c:pt>
                <c:pt idx="3">
                  <c:v>64647.21</c:v>
                </c:pt>
                <c:pt idx="4">
                  <c:v>55809.89</c:v>
                </c:pt>
                <c:pt idx="5">
                  <c:v>60278.77</c:v>
                </c:pt>
                <c:pt idx="6">
                  <c:v>51278.77</c:v>
                </c:pt>
                <c:pt idx="7">
                  <c:v>40317.29</c:v>
                </c:pt>
                <c:pt idx="8">
                  <c:v>28349.29</c:v>
                </c:pt>
                <c:pt idx="9">
                  <c:v>47616.75</c:v>
                </c:pt>
                <c:pt idx="10">
                  <c:v>77616.75</c:v>
                </c:pt>
                <c:pt idx="11">
                  <c:v>96147.35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044403"/>
        <c:axId val="7704325"/>
      </c:lineChart>
      <c:dateAx>
        <c:axId val="18044403"/>
        <c:scaling>
          <c:orientation val="minMax"/>
        </c:scaling>
        <c:delete val="0"/>
        <c:axPos val="b"/>
        <c:numFmt formatCode="dd/mm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704325"/>
        <c:crosses val="autoZero"/>
        <c:auto val="1"/>
        <c:lblOffset val="100"/>
        <c:baseTimeUnit val="days"/>
      </c:dateAx>
      <c:valAx>
        <c:axId val="77043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804440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245160</xdr:colOff>
      <xdr:row>6</xdr:row>
      <xdr:rowOff>120600</xdr:rowOff>
    </xdr:from>
    <xdr:to>
      <xdr:col>13</xdr:col>
      <xdr:colOff>1139400</xdr:colOff>
      <xdr:row>29</xdr:row>
      <xdr:rowOff>183600</xdr:rowOff>
    </xdr:to>
    <xdr:graphicFrame>
      <xdr:nvGraphicFramePr>
        <xdr:cNvPr id="1" name="EVOLUÇÃO DE ESTOQUE"/>
        <xdr:cNvGraphicFramePr/>
      </xdr:nvGraphicFramePr>
      <xdr:xfrm>
        <a:off x="6649200" y="2359080"/>
        <a:ext cx="12079800" cy="444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9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L5" activeCellId="0" sqref="L5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1" width="38.29"/>
    <col collapsed="false" customWidth="true" hidden="false" outlineLevel="0" max="2" min="2" style="1" width="18.29"/>
    <col collapsed="false" customWidth="true" hidden="false" outlineLevel="0" max="3" min="3" style="1" width="17.71"/>
    <col collapsed="false" customWidth="true" hidden="false" outlineLevel="0" max="4" min="4" style="1" width="16.57"/>
    <col collapsed="false" customWidth="true" hidden="false" outlineLevel="0" max="5" min="5" style="1" width="17.71"/>
    <col collapsed="false" customWidth="true" hidden="false" outlineLevel="0" max="6" min="6" style="1" width="16.57"/>
    <col collapsed="false" customWidth="true" hidden="false" outlineLevel="0" max="11" min="7" style="1" width="17.71"/>
    <col collapsed="false" customWidth="true" hidden="false" outlineLevel="0" max="12" min="12" style="1" width="17.29"/>
    <col collapsed="false" customWidth="true" hidden="false" outlineLevel="0" max="14" min="13" style="1" width="18.57"/>
    <col collapsed="false" customWidth="true" hidden="false" outlineLevel="0" max="15" min="15" style="2" width="18.57"/>
    <col collapsed="false" customWidth="true" hidden="false" outlineLevel="0" max="16" min="16" style="1" width="17.29"/>
    <col collapsed="false" customWidth="true" hidden="false" outlineLevel="0" max="17" min="17" style="1" width="18.57"/>
    <col collapsed="false" customWidth="true" hidden="false" outlineLevel="0" max="18" min="18" style="1" width="17.29"/>
    <col collapsed="false" customWidth="true" hidden="false" outlineLevel="0" max="21" min="19" style="1" width="18.57"/>
  </cols>
  <sheetData>
    <row r="1" customFormat="false" ht="37.5" hidden="false" customHeight="true" outlineLevel="0" collapsed="false">
      <c r="A1" s="3"/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1</v>
      </c>
      <c r="K1" s="5" t="s">
        <v>5</v>
      </c>
      <c r="L1" s="6" t="s">
        <v>8</v>
      </c>
      <c r="M1" s="6"/>
      <c r="N1" s="6" t="s">
        <v>9</v>
      </c>
      <c r="O1" s="6" t="s">
        <v>10</v>
      </c>
      <c r="P1" s="6" t="s">
        <v>8</v>
      </c>
      <c r="Q1" s="6" t="s">
        <v>11</v>
      </c>
      <c r="R1" s="6" t="s">
        <v>5</v>
      </c>
      <c r="S1" s="6"/>
      <c r="T1" s="7"/>
      <c r="U1" s="6"/>
    </row>
    <row r="2" customFormat="false" ht="15.75" hidden="false" customHeight="true" outlineLevel="0" collapsed="false">
      <c r="A2" s="3"/>
      <c r="B2" s="3"/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9" t="s">
        <v>21</v>
      </c>
      <c r="M2" s="9" t="s">
        <v>22</v>
      </c>
      <c r="N2" s="9" t="s">
        <v>23</v>
      </c>
      <c r="O2" s="9" t="s">
        <v>24</v>
      </c>
      <c r="P2" s="9" t="s">
        <v>25</v>
      </c>
      <c r="Q2" s="9" t="s">
        <v>26</v>
      </c>
      <c r="R2" s="9" t="s">
        <v>27</v>
      </c>
      <c r="S2" s="9" t="s">
        <v>28</v>
      </c>
      <c r="T2" s="9" t="s">
        <v>29</v>
      </c>
      <c r="U2" s="9" t="s">
        <v>30</v>
      </c>
    </row>
    <row r="3" customFormat="false" ht="28.5" hidden="false" customHeight="true" outlineLevel="0" collapsed="false">
      <c r="A3" s="3"/>
      <c r="B3" s="3"/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</row>
    <row r="4" customFormat="false" ht="52.5" hidden="false" customHeight="true" outlineLevel="0" collapsed="false">
      <c r="A4" s="10" t="s">
        <v>31</v>
      </c>
      <c r="B4" s="11" t="n">
        <v>46015</v>
      </c>
      <c r="C4" s="12" t="n">
        <v>46015</v>
      </c>
      <c r="D4" s="12" t="n">
        <v>45662</v>
      </c>
      <c r="E4" s="12" t="n">
        <v>45664</v>
      </c>
      <c r="F4" s="12" t="n">
        <v>45669</v>
      </c>
      <c r="G4" s="12" t="n">
        <v>45669</v>
      </c>
      <c r="H4" s="12" t="n">
        <v>45690</v>
      </c>
      <c r="I4" s="12" t="n">
        <v>45705</v>
      </c>
      <c r="J4" s="12" t="n">
        <v>45721</v>
      </c>
      <c r="K4" s="12" t="n">
        <v>45736</v>
      </c>
      <c r="L4" s="12" t="n">
        <v>46020</v>
      </c>
      <c r="M4" s="12" t="n">
        <v>45662</v>
      </c>
      <c r="N4" s="12" t="n">
        <v>45662</v>
      </c>
      <c r="O4" s="13" t="n">
        <v>45664</v>
      </c>
      <c r="P4" s="12" t="n">
        <v>45665</v>
      </c>
      <c r="Q4" s="12" t="n">
        <v>45665</v>
      </c>
      <c r="R4" s="12" t="n">
        <v>45669</v>
      </c>
      <c r="S4" s="12" t="n">
        <v>45687</v>
      </c>
      <c r="T4" s="12" t="n">
        <v>45690</v>
      </c>
      <c r="U4" s="12" t="n">
        <v>45703</v>
      </c>
    </row>
    <row r="5" customFormat="false" ht="27" hidden="false" customHeight="true" outlineLevel="0" collapsed="false">
      <c r="A5" s="10" t="s">
        <v>32</v>
      </c>
      <c r="B5" s="14" t="n">
        <v>81658.95</v>
      </c>
      <c r="C5" s="14" t="n">
        <v>7000</v>
      </c>
      <c r="D5" s="14" t="n">
        <v>6172.78</v>
      </c>
      <c r="E5" s="14" t="n">
        <v>11121.78</v>
      </c>
      <c r="F5" s="14" t="n">
        <v>3838.65</v>
      </c>
      <c r="G5" s="14" t="n">
        <v>3310.12</v>
      </c>
      <c r="H5" s="14" t="n">
        <v>2378.52</v>
      </c>
      <c r="I5" s="14" t="n">
        <v>19267.46</v>
      </c>
      <c r="J5" s="14" t="n">
        <v>30000</v>
      </c>
      <c r="K5" s="14" t="n">
        <v>18530.6</v>
      </c>
      <c r="L5" s="14" t="n">
        <v>9541.55</v>
      </c>
      <c r="M5" s="14" t="n">
        <v>5064.75</v>
      </c>
      <c r="N5" s="14" t="n">
        <v>7200</v>
      </c>
      <c r="O5" s="15" t="n">
        <v>19500</v>
      </c>
      <c r="P5" s="14" t="n">
        <v>8837.32</v>
      </c>
      <c r="Q5" s="14" t="n">
        <v>4800</v>
      </c>
      <c r="R5" s="14" t="n">
        <v>2679.89</v>
      </c>
      <c r="S5" s="14" t="n">
        <v>9000</v>
      </c>
      <c r="T5" s="14" t="n">
        <v>13340</v>
      </c>
      <c r="U5" s="14" t="n">
        <v>11968</v>
      </c>
    </row>
    <row r="8" customFormat="false" ht="15" hidden="false" customHeight="true" outlineLevel="0" collapsed="false">
      <c r="A8" s="16" t="n">
        <v>46015</v>
      </c>
      <c r="B8" s="1" t="n">
        <f aca="false">B5+C5</f>
        <v>88658.95</v>
      </c>
    </row>
    <row r="9" customFormat="false" ht="15" hidden="false" customHeight="true" outlineLevel="0" collapsed="false">
      <c r="A9" s="16" t="n">
        <v>46020</v>
      </c>
      <c r="B9" s="1" t="n">
        <f aca="false">B8-L5</f>
        <v>79117.4</v>
      </c>
    </row>
    <row r="10" customFormat="false" ht="15" hidden="false" customHeight="true" outlineLevel="0" collapsed="false">
      <c r="A10" s="16" t="n">
        <v>46027</v>
      </c>
      <c r="B10" s="1" t="n">
        <f aca="false">B9+D5-M5-N5</f>
        <v>73025.43</v>
      </c>
      <c r="D10" s="1" t="n">
        <f aca="false">B10*1.65</f>
        <v>120491.9595</v>
      </c>
    </row>
    <row r="11" customFormat="false" ht="15" hidden="false" customHeight="true" outlineLevel="0" collapsed="false">
      <c r="A11" s="16" t="n">
        <v>46029</v>
      </c>
      <c r="B11" s="1" t="n">
        <f aca="false">B10+E5-O5</f>
        <v>64647.21</v>
      </c>
      <c r="C11" s="1" t="s">
        <v>33</v>
      </c>
      <c r="D11" s="1" t="n">
        <f aca="false">B11*1.65</f>
        <v>106667.8965</v>
      </c>
    </row>
    <row r="12" customFormat="false" ht="15" hidden="false" customHeight="true" outlineLevel="0" collapsed="false">
      <c r="A12" s="16" t="n">
        <v>46030</v>
      </c>
      <c r="B12" s="1" t="n">
        <f aca="false">B11-P5</f>
        <v>55809.89</v>
      </c>
      <c r="C12" s="1" t="s">
        <v>34</v>
      </c>
      <c r="D12" s="1" t="n">
        <f aca="false">B12*1.65</f>
        <v>92086.3185</v>
      </c>
    </row>
    <row r="13" customFormat="false" ht="15" hidden="false" customHeight="true" outlineLevel="0" collapsed="false">
      <c r="A13" s="16" t="n">
        <v>46034</v>
      </c>
      <c r="B13" s="1" t="n">
        <f aca="false">B12+F5+G5-R5</f>
        <v>60278.77</v>
      </c>
      <c r="D13" s="1" t="n">
        <f aca="false">B13*1.65</f>
        <v>99459.9705</v>
      </c>
    </row>
    <row r="14" customFormat="false" ht="15" hidden="false" customHeight="true" outlineLevel="0" collapsed="false">
      <c r="A14" s="16" t="n">
        <v>46052</v>
      </c>
      <c r="B14" s="1" t="n">
        <f aca="false">B13-S5</f>
        <v>51278.77</v>
      </c>
      <c r="D14" s="1" t="n">
        <f aca="false">B14*1.65</f>
        <v>84609.9705</v>
      </c>
    </row>
    <row r="15" customFormat="false" ht="15" hidden="false" customHeight="true" outlineLevel="0" collapsed="false">
      <c r="A15" s="16" t="n">
        <v>46055</v>
      </c>
      <c r="B15" s="1" t="n">
        <f aca="false">B14+H5-T5</f>
        <v>40317.29</v>
      </c>
      <c r="D15" s="1" t="n">
        <f aca="false">B15*1.65</f>
        <v>66523.5285</v>
      </c>
    </row>
    <row r="16" customFormat="false" ht="15" hidden="false" customHeight="true" outlineLevel="0" collapsed="false">
      <c r="A16" s="16" t="n">
        <v>46068</v>
      </c>
      <c r="B16" s="1" t="n">
        <f aca="false">B15-U5</f>
        <v>28349.29</v>
      </c>
      <c r="D16" s="1" t="n">
        <f aca="false">B16*1.65</f>
        <v>46776.3285</v>
      </c>
    </row>
    <row r="17" customFormat="false" ht="15" hidden="false" customHeight="true" outlineLevel="0" collapsed="false">
      <c r="A17" s="16" t="n">
        <v>46070</v>
      </c>
      <c r="B17" s="1" t="n">
        <f aca="false">B16+I5</f>
        <v>47616.75</v>
      </c>
      <c r="D17" s="1" t="n">
        <f aca="false">B17*1.65</f>
        <v>78567.6375</v>
      </c>
    </row>
    <row r="18" customFormat="false" ht="15" hidden="false" customHeight="true" outlineLevel="0" collapsed="false">
      <c r="A18" s="16" t="n">
        <v>46086</v>
      </c>
      <c r="B18" s="1" t="n">
        <f aca="false">B17+J5</f>
        <v>77616.75</v>
      </c>
      <c r="D18" s="1" t="n">
        <f aca="false">B18*1.65</f>
        <v>128067.6375</v>
      </c>
    </row>
    <row r="19" customFormat="false" ht="15" hidden="false" customHeight="true" outlineLevel="0" collapsed="false">
      <c r="A19" s="16" t="n">
        <v>46101</v>
      </c>
      <c r="B19" s="1" t="n">
        <f aca="false">B18+K5</f>
        <v>96147.35</v>
      </c>
      <c r="C19" s="1" t="s">
        <v>33</v>
      </c>
      <c r="D19" s="1" t="n">
        <f aca="false">B19*1.65</f>
        <v>158643.1275</v>
      </c>
    </row>
  </sheetData>
  <mergeCells count="21">
    <mergeCell ref="A1:A3"/>
    <mergeCell ref="B1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</mergeCells>
  <printOptions headings="false" gridLines="false" gridLinesSet="true" horizontalCentered="false" verticalCentered="false"/>
  <pageMargins left="0.7875" right="0.236111111111111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F25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4" topLeftCell="J5" activePane="bottomRight" state="frozen"/>
      <selection pane="topLeft" activeCell="A1" activeCellId="0" sqref="A1"/>
      <selection pane="topRight" activeCell="J1" activeCellId="0" sqref="J1"/>
      <selection pane="bottomLeft" activeCell="A5" activeCellId="0" sqref="A5"/>
      <selection pane="bottomRight" activeCell="P5" activeCellId="0" sqref="P5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7" width="41.71"/>
    <col collapsed="false" customWidth="true" hidden="false" outlineLevel="0" max="2" min="2" style="17" width="13.71"/>
    <col collapsed="false" customWidth="true" hidden="false" outlineLevel="0" max="3" min="3" style="17" width="18"/>
    <col collapsed="false" customWidth="true" hidden="false" outlineLevel="0" max="4" min="4" style="17" width="17.18"/>
    <col collapsed="false" customWidth="true" hidden="false" outlineLevel="0" max="5" min="5" style="17" width="18.66"/>
    <col collapsed="false" customWidth="true" hidden="false" outlineLevel="0" max="6" min="6" style="17" width="18.82"/>
    <col collapsed="false" customWidth="true" hidden="false" outlineLevel="0" max="7" min="7" style="17" width="18.49"/>
    <col collapsed="false" customWidth="true" hidden="false" outlineLevel="0" max="8" min="8" style="17" width="13.42"/>
    <col collapsed="false" customWidth="true" hidden="false" outlineLevel="0" max="9" min="9" style="17" width="6.14"/>
    <col collapsed="false" customWidth="true" hidden="false" outlineLevel="0" max="14" min="10" style="17" width="13.86"/>
    <col collapsed="false" customWidth="true" hidden="false" outlineLevel="0" max="18" min="15" style="17" width="16.57"/>
    <col collapsed="false" customWidth="true" hidden="false" outlineLevel="0" max="21" min="19" style="17" width="17"/>
    <col collapsed="false" customWidth="true" hidden="false" outlineLevel="0" max="22" min="22" style="17" width="14.86"/>
    <col collapsed="false" customWidth="true" hidden="false" outlineLevel="0" max="23" min="23" style="17" width="16"/>
    <col collapsed="false" customWidth="true" hidden="false" outlineLevel="0" max="24" min="24" style="17" width="14.86"/>
    <col collapsed="false" customWidth="true" hidden="false" outlineLevel="0" max="25" min="25" style="17" width="9.29"/>
    <col collapsed="false" customWidth="true" hidden="false" outlineLevel="0" max="27" min="26" style="17" width="6.14"/>
    <col collapsed="false" customWidth="true" hidden="false" outlineLevel="0" max="28" min="28" style="17" width="8.15"/>
    <col collapsed="false" customWidth="true" hidden="false" outlineLevel="0" max="29" min="29" style="17" width="6.14"/>
    <col collapsed="false" customWidth="true" hidden="false" outlineLevel="0" max="30" min="30" style="17" width="9.29"/>
    <col collapsed="false" customWidth="true" hidden="false" outlineLevel="0" max="31" min="31" style="17" width="11.57"/>
    <col collapsed="false" customWidth="true" hidden="false" outlineLevel="0" max="34" min="32" style="17" width="8.15"/>
    <col collapsed="false" customWidth="true" hidden="false" outlineLevel="0" max="35" min="35" style="17" width="7.16"/>
    <col collapsed="false" customWidth="true" hidden="false" outlineLevel="0" max="38" min="36" style="17" width="9.29"/>
    <col collapsed="false" customWidth="false" hidden="false" outlineLevel="0" max="52" min="39" style="17" width="9.14"/>
    <col collapsed="false" customWidth="false" hidden="false" outlineLevel="0" max="16378" min="59" style="17" width="9.14"/>
    <col collapsed="false" customWidth="true" hidden="false" outlineLevel="0" max="16384" min="16379" style="17" width="11.53"/>
  </cols>
  <sheetData>
    <row r="1" customFormat="false" ht="15" hidden="false" customHeight="true" outlineLevel="0" collapsed="false">
      <c r="C1" s="18"/>
      <c r="D1" s="18"/>
      <c r="E1" s="18"/>
      <c r="F1" s="18"/>
      <c r="G1" s="18"/>
      <c r="J1" s="19" t="s">
        <v>35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customFormat="false" ht="29.25" hidden="false" customHeight="true" outlineLevel="0" collapsed="false">
      <c r="A2" s="20" t="s">
        <v>36</v>
      </c>
      <c r="B2" s="20" t="s">
        <v>37</v>
      </c>
      <c r="C2" s="21" t="s">
        <v>7</v>
      </c>
      <c r="D2" s="22" t="s">
        <v>38</v>
      </c>
      <c r="E2" s="22" t="s">
        <v>39</v>
      </c>
      <c r="F2" s="22" t="s">
        <v>40</v>
      </c>
      <c r="G2" s="22" t="s">
        <v>41</v>
      </c>
      <c r="H2" s="23" t="s">
        <v>42</v>
      </c>
      <c r="I2" s="24"/>
      <c r="J2" s="25" t="s">
        <v>10</v>
      </c>
      <c r="K2" s="26" t="s">
        <v>43</v>
      </c>
      <c r="L2" s="26" t="s">
        <v>44</v>
      </c>
      <c r="M2" s="25" t="s">
        <v>45</v>
      </c>
      <c r="N2" s="25" t="s">
        <v>46</v>
      </c>
      <c r="O2" s="27" t="s">
        <v>47</v>
      </c>
      <c r="P2" s="25" t="s">
        <v>48</v>
      </c>
      <c r="Q2" s="25" t="s">
        <v>49</v>
      </c>
      <c r="R2" s="25" t="s">
        <v>50</v>
      </c>
      <c r="S2" s="25" t="s">
        <v>51</v>
      </c>
      <c r="T2" s="25" t="s">
        <v>52</v>
      </c>
      <c r="U2" s="25" t="s">
        <v>53</v>
      </c>
      <c r="V2" s="28" t="s">
        <v>54</v>
      </c>
      <c r="W2" s="29" t="s">
        <v>55</v>
      </c>
      <c r="X2" s="30" t="s">
        <v>56</v>
      </c>
      <c r="AH2" s="31"/>
      <c r="AI2" s="32"/>
      <c r="AJ2" s="31"/>
    </row>
    <row r="3" s="39" customFormat="true" ht="27" hidden="false" customHeight="true" outlineLevel="0" collapsed="false">
      <c r="A3" s="20"/>
      <c r="B3" s="20"/>
      <c r="C3" s="33" t="s">
        <v>57</v>
      </c>
      <c r="D3" s="34" t="s">
        <v>58</v>
      </c>
      <c r="E3" s="34" t="s">
        <v>59</v>
      </c>
      <c r="F3" s="34" t="s">
        <v>60</v>
      </c>
      <c r="G3" s="34" t="s">
        <v>61</v>
      </c>
      <c r="H3" s="23"/>
      <c r="I3" s="35"/>
      <c r="J3" s="36" t="s">
        <v>62</v>
      </c>
      <c r="K3" s="36" t="s">
        <v>63</v>
      </c>
      <c r="L3" s="36" t="s">
        <v>64</v>
      </c>
      <c r="M3" s="36" t="s">
        <v>65</v>
      </c>
      <c r="N3" s="36" t="s">
        <v>66</v>
      </c>
      <c r="O3" s="37" t="s">
        <v>67</v>
      </c>
      <c r="P3" s="37" t="s">
        <v>68</v>
      </c>
      <c r="Q3" s="37" t="s">
        <v>69</v>
      </c>
      <c r="R3" s="37" t="s">
        <v>70</v>
      </c>
      <c r="S3" s="38" t="s">
        <v>71</v>
      </c>
      <c r="T3" s="36" t="s">
        <v>72</v>
      </c>
      <c r="U3" s="36" t="s">
        <v>73</v>
      </c>
      <c r="V3" s="28"/>
      <c r="W3" s="29"/>
      <c r="X3" s="30"/>
      <c r="AH3" s="40"/>
      <c r="AI3" s="41"/>
      <c r="AJ3" s="40"/>
      <c r="AM3" s="17"/>
      <c r="AN3" s="17"/>
      <c r="AO3" s="17"/>
      <c r="AP3" s="17"/>
      <c r="AQ3" s="17"/>
      <c r="BA3" s="1"/>
      <c r="BB3" s="1"/>
      <c r="BC3" s="1"/>
      <c r="BD3" s="1"/>
      <c r="BE3" s="1"/>
      <c r="BF3" s="1"/>
    </row>
    <row r="4" s="39" customFormat="true" ht="30.75" hidden="false" customHeight="true" outlineLevel="0" collapsed="false">
      <c r="A4" s="20"/>
      <c r="B4" s="20"/>
      <c r="C4" s="33"/>
      <c r="D4" s="34"/>
      <c r="E4" s="34"/>
      <c r="F4" s="34"/>
      <c r="G4" s="34"/>
      <c r="H4" s="23"/>
      <c r="I4" s="35"/>
      <c r="J4" s="36"/>
      <c r="K4" s="36"/>
      <c r="L4" s="36"/>
      <c r="M4" s="36"/>
      <c r="N4" s="36"/>
      <c r="O4" s="37"/>
      <c r="P4" s="37"/>
      <c r="Q4" s="37"/>
      <c r="R4" s="37"/>
      <c r="S4" s="37"/>
      <c r="T4" s="36"/>
      <c r="U4" s="36"/>
      <c r="V4" s="28"/>
      <c r="W4" s="29"/>
      <c r="X4" s="30"/>
      <c r="AH4" s="40"/>
      <c r="AI4" s="41"/>
      <c r="AJ4" s="40"/>
      <c r="AM4" s="17"/>
      <c r="AN4" s="17"/>
      <c r="AO4" s="17"/>
      <c r="AP4" s="17"/>
      <c r="AQ4" s="17"/>
      <c r="BA4" s="1"/>
      <c r="BB4" s="1"/>
      <c r="BC4" s="1"/>
      <c r="BD4" s="1"/>
      <c r="BE4" s="1"/>
      <c r="BF4" s="1"/>
    </row>
    <row r="5" s="48" customFormat="true" ht="15" hidden="false" customHeight="true" outlineLevel="0" collapsed="false">
      <c r="A5" s="42" t="s">
        <v>74</v>
      </c>
      <c r="B5" s="42" t="n">
        <v>110</v>
      </c>
      <c r="C5" s="43"/>
      <c r="D5" s="44"/>
      <c r="E5" s="44"/>
      <c r="F5" s="44"/>
      <c r="G5" s="44"/>
      <c r="H5" s="44" t="n">
        <f aca="false">B5+D5+E5+F5+G5+C5</f>
        <v>110</v>
      </c>
      <c r="I5" s="45"/>
      <c r="J5" s="46"/>
      <c r="K5" s="46"/>
      <c r="L5" s="46"/>
      <c r="M5" s="46"/>
      <c r="N5" s="46"/>
      <c r="O5" s="46"/>
      <c r="P5" s="46" t="n">
        <v>57</v>
      </c>
      <c r="Q5" s="46"/>
      <c r="R5" s="46"/>
      <c r="S5" s="46"/>
      <c r="T5" s="46" t="n">
        <v>8</v>
      </c>
      <c r="U5" s="46" t="n">
        <v>14</v>
      </c>
      <c r="V5" s="47" t="n">
        <f aca="false">J5+K5+L5+M5+N5+O5+P5+Q5+R5+S5+T5+U5</f>
        <v>79</v>
      </c>
      <c r="W5" s="47" t="n">
        <f aca="false">H5-V5</f>
        <v>31</v>
      </c>
      <c r="X5" s="48" t="n">
        <v>11.41</v>
      </c>
      <c r="Y5" s="48" t="n">
        <f aca="false">B5*$X5</f>
        <v>1255.1</v>
      </c>
      <c r="Z5" s="48" t="n">
        <f aca="false">C5*$X5</f>
        <v>0</v>
      </c>
      <c r="AA5" s="48" t="n">
        <f aca="false">D5*$X5</f>
        <v>0</v>
      </c>
      <c r="AB5" s="48" t="n">
        <f aca="false">E5*$X5</f>
        <v>0</v>
      </c>
      <c r="AC5" s="48" t="n">
        <f aca="false">F5*$X5</f>
        <v>0</v>
      </c>
      <c r="AD5" s="48" t="n">
        <f aca="false">G5*$X5</f>
        <v>0</v>
      </c>
      <c r="AE5" s="48" t="n">
        <f aca="false">H5*$X5</f>
        <v>1255.1</v>
      </c>
      <c r="AF5" s="48" t="n">
        <f aca="false">I5*$X5</f>
        <v>0</v>
      </c>
      <c r="AG5" s="48" t="n">
        <f aca="false">J5*$X5</f>
        <v>0</v>
      </c>
      <c r="AH5" s="48" t="n">
        <f aca="false">K5*$X5</f>
        <v>0</v>
      </c>
      <c r="AI5" s="48" t="n">
        <f aca="false">L5*$X5</f>
        <v>0</v>
      </c>
      <c r="AJ5" s="48" t="n">
        <f aca="false">M5*$X5</f>
        <v>0</v>
      </c>
      <c r="AK5" s="48" t="n">
        <f aca="false">N5*$X5</f>
        <v>0</v>
      </c>
      <c r="AL5" s="48" t="n">
        <f aca="false">O5*$X5</f>
        <v>0</v>
      </c>
      <c r="AM5" s="48" t="n">
        <f aca="false">P5*$X5</f>
        <v>650.37</v>
      </c>
      <c r="AN5" s="48" t="n">
        <f aca="false">Q5*$X5</f>
        <v>0</v>
      </c>
      <c r="AO5" s="48" t="n">
        <f aca="false">R5*$X5</f>
        <v>0</v>
      </c>
      <c r="AP5" s="48" t="n">
        <f aca="false">S5*$X5</f>
        <v>0</v>
      </c>
      <c r="AQ5" s="48" t="n">
        <f aca="false">T5*$X5</f>
        <v>91.28</v>
      </c>
      <c r="AR5" s="48" t="n">
        <f aca="false">U5*$X5</f>
        <v>159.74</v>
      </c>
      <c r="AS5" s="48" t="n">
        <f aca="false">V5*$X5</f>
        <v>901.39</v>
      </c>
      <c r="AT5" s="48" t="n">
        <f aca="false">W5*$X5</f>
        <v>353.71</v>
      </c>
      <c r="AU5" s="48" t="n">
        <f aca="false">X5*$X5</f>
        <v>130.1881</v>
      </c>
      <c r="AV5" s="48" t="n">
        <f aca="false">Y5*$X5</f>
        <v>14320.691</v>
      </c>
      <c r="AW5" s="48" t="n">
        <f aca="false">Z5*$X5</f>
        <v>0</v>
      </c>
      <c r="AX5" s="48" t="n">
        <f aca="false">AA5*$X5</f>
        <v>0</v>
      </c>
      <c r="AY5" s="48" t="n">
        <f aca="false">AB5*$X5</f>
        <v>0</v>
      </c>
      <c r="AZ5" s="48" t="n">
        <f aca="false">AC5*$X5</f>
        <v>0</v>
      </c>
      <c r="BA5" s="1"/>
      <c r="BB5" s="1"/>
      <c r="BC5" s="1"/>
      <c r="BD5" s="1"/>
      <c r="BE5" s="1"/>
      <c r="BF5" s="1"/>
    </row>
    <row r="6" s="48" customFormat="true" ht="15" hidden="false" customHeight="true" outlineLevel="0" collapsed="false">
      <c r="A6" s="42" t="s">
        <v>75</v>
      </c>
      <c r="B6" s="42" t="n">
        <v>12</v>
      </c>
      <c r="C6" s="43"/>
      <c r="D6" s="44"/>
      <c r="E6" s="44"/>
      <c r="F6" s="44"/>
      <c r="G6" s="44"/>
      <c r="H6" s="44" t="n">
        <f aca="false">B6+D6+E6+F6+G6+C6</f>
        <v>12</v>
      </c>
      <c r="I6" s="45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7" t="n">
        <f aca="false">J6+K6+L6+M6+N6+O6+P6+Q6+R6+S6+T6+U6</f>
        <v>0</v>
      </c>
      <c r="W6" s="47" t="n">
        <f aca="false">H6-V6</f>
        <v>12</v>
      </c>
      <c r="X6" s="48" t="n">
        <v>3.52</v>
      </c>
      <c r="Y6" s="48" t="n">
        <f aca="false">B6*$X6</f>
        <v>42.24</v>
      </c>
      <c r="Z6" s="48" t="n">
        <f aca="false">C6*$X6</f>
        <v>0</v>
      </c>
      <c r="AA6" s="48" t="n">
        <f aca="false">D6*$X6</f>
        <v>0</v>
      </c>
      <c r="AB6" s="48" t="n">
        <f aca="false">E6*$X6</f>
        <v>0</v>
      </c>
      <c r="AC6" s="48" t="n">
        <f aca="false">F6*$X6</f>
        <v>0</v>
      </c>
      <c r="AD6" s="48" t="n">
        <f aca="false">G6*$X6</f>
        <v>0</v>
      </c>
      <c r="AE6" s="48" t="n">
        <f aca="false">H6*$X6</f>
        <v>42.24</v>
      </c>
      <c r="AF6" s="48" t="n">
        <f aca="false">I6*$X6</f>
        <v>0</v>
      </c>
      <c r="AG6" s="48" t="n">
        <f aca="false">J6*$X6</f>
        <v>0</v>
      </c>
      <c r="AH6" s="48" t="n">
        <f aca="false">K6*$X6</f>
        <v>0</v>
      </c>
      <c r="AI6" s="48" t="n">
        <f aca="false">L6*$X6</f>
        <v>0</v>
      </c>
      <c r="AJ6" s="48" t="n">
        <f aca="false">M6*$X6</f>
        <v>0</v>
      </c>
      <c r="AK6" s="48" t="n">
        <f aca="false">N6*$X6</f>
        <v>0</v>
      </c>
      <c r="AL6" s="48" t="n">
        <f aca="false">O6*$X6</f>
        <v>0</v>
      </c>
      <c r="AM6" s="48" t="n">
        <f aca="false">P6*$X6</f>
        <v>0</v>
      </c>
      <c r="AN6" s="48" t="n">
        <f aca="false">Q6*$X6</f>
        <v>0</v>
      </c>
      <c r="AO6" s="48" t="n">
        <f aca="false">R6*$X6</f>
        <v>0</v>
      </c>
      <c r="AP6" s="48" t="n">
        <f aca="false">S6*$X6</f>
        <v>0</v>
      </c>
      <c r="AQ6" s="48" t="n">
        <f aca="false">T6*$X6</f>
        <v>0</v>
      </c>
      <c r="AR6" s="48" t="n">
        <f aca="false">U6*$X6</f>
        <v>0</v>
      </c>
      <c r="AS6" s="48" t="n">
        <f aca="false">V6*$X6</f>
        <v>0</v>
      </c>
      <c r="AT6" s="48" t="n">
        <f aca="false">W6*$X6</f>
        <v>42.24</v>
      </c>
      <c r="AU6" s="48" t="n">
        <f aca="false">X6*$X6</f>
        <v>12.3904</v>
      </c>
      <c r="AV6" s="48" t="n">
        <f aca="false">Y6*$X6</f>
        <v>148.6848</v>
      </c>
      <c r="AW6" s="48" t="n">
        <f aca="false">Z6*$X6</f>
        <v>0</v>
      </c>
      <c r="AX6" s="48" t="n">
        <f aca="false">AA6*$X6</f>
        <v>0</v>
      </c>
      <c r="AY6" s="48" t="n">
        <f aca="false">AB6*$X6</f>
        <v>0</v>
      </c>
      <c r="AZ6" s="48" t="n">
        <f aca="false">AC6*$X6</f>
        <v>0</v>
      </c>
      <c r="BA6" s="1"/>
      <c r="BB6" s="1"/>
      <c r="BC6" s="1"/>
      <c r="BD6" s="1"/>
      <c r="BE6" s="1"/>
      <c r="BF6" s="1"/>
    </row>
    <row r="7" s="48" customFormat="true" ht="15" hidden="false" customHeight="true" outlineLevel="0" collapsed="false">
      <c r="A7" s="42" t="s">
        <v>76</v>
      </c>
      <c r="B7" s="42" t="n">
        <v>3</v>
      </c>
      <c r="C7" s="43"/>
      <c r="D7" s="44"/>
      <c r="E7" s="44" t="n">
        <v>4</v>
      </c>
      <c r="F7" s="44"/>
      <c r="G7" s="44"/>
      <c r="H7" s="44" t="n">
        <f aca="false">B7+D7+E7+F7+G7+C7</f>
        <v>7</v>
      </c>
      <c r="I7" s="45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7" t="n">
        <f aca="false">J7+K7+L7+M7+N7+O7+P7+Q7+R7+S7+T7+U7</f>
        <v>0</v>
      </c>
      <c r="W7" s="47" t="n">
        <f aca="false">H7-V7</f>
        <v>7</v>
      </c>
      <c r="X7" s="48" t="n">
        <v>3</v>
      </c>
      <c r="Y7" s="48" t="n">
        <f aca="false">B7*$X7</f>
        <v>9</v>
      </c>
      <c r="Z7" s="48" t="n">
        <f aca="false">C7*$X7</f>
        <v>0</v>
      </c>
      <c r="AA7" s="48" t="n">
        <f aca="false">D7*$X7</f>
        <v>0</v>
      </c>
      <c r="AB7" s="48" t="n">
        <f aca="false">E7*$X7</f>
        <v>12</v>
      </c>
      <c r="AC7" s="48" t="n">
        <f aca="false">F7*$X7</f>
        <v>0</v>
      </c>
      <c r="AD7" s="48" t="n">
        <f aca="false">G7*$X7</f>
        <v>0</v>
      </c>
      <c r="AE7" s="48" t="n">
        <f aca="false">H7*$X7</f>
        <v>21</v>
      </c>
      <c r="AF7" s="48" t="n">
        <f aca="false">I7*$X7</f>
        <v>0</v>
      </c>
      <c r="AG7" s="48" t="n">
        <f aca="false">J7*$X7</f>
        <v>0</v>
      </c>
      <c r="AH7" s="48" t="n">
        <f aca="false">K7*$X7</f>
        <v>0</v>
      </c>
      <c r="AI7" s="48" t="n">
        <f aca="false">L7*$X7</f>
        <v>0</v>
      </c>
      <c r="AJ7" s="48" t="n">
        <f aca="false">M7*$X7</f>
        <v>0</v>
      </c>
      <c r="AK7" s="48" t="n">
        <f aca="false">N7*$X7</f>
        <v>0</v>
      </c>
      <c r="AL7" s="48" t="n">
        <f aca="false">O7*$X7</f>
        <v>0</v>
      </c>
      <c r="AM7" s="48" t="n">
        <f aca="false">P7*$X7</f>
        <v>0</v>
      </c>
      <c r="AN7" s="48" t="n">
        <f aca="false">Q7*$X7</f>
        <v>0</v>
      </c>
      <c r="AO7" s="48" t="n">
        <f aca="false">R7*$X7</f>
        <v>0</v>
      </c>
      <c r="AP7" s="48" t="n">
        <f aca="false">S7*$X7</f>
        <v>0</v>
      </c>
      <c r="AQ7" s="48" t="n">
        <f aca="false">T7*$X7</f>
        <v>0</v>
      </c>
      <c r="AR7" s="48" t="n">
        <f aca="false">U7*$X7</f>
        <v>0</v>
      </c>
      <c r="AS7" s="48" t="n">
        <f aca="false">V7*$X7</f>
        <v>0</v>
      </c>
      <c r="AT7" s="48" t="n">
        <f aca="false">W7*$X7</f>
        <v>21</v>
      </c>
      <c r="AU7" s="48" t="n">
        <f aca="false">X7*$X7</f>
        <v>9</v>
      </c>
      <c r="AV7" s="48" t="n">
        <f aca="false">Y7*$X7</f>
        <v>27</v>
      </c>
      <c r="AW7" s="48" t="n">
        <f aca="false">Z7*$X7</f>
        <v>0</v>
      </c>
      <c r="AX7" s="48" t="n">
        <f aca="false">AA7*$X7</f>
        <v>0</v>
      </c>
      <c r="AY7" s="48" t="n">
        <f aca="false">AB7*$X7</f>
        <v>36</v>
      </c>
      <c r="AZ7" s="48" t="n">
        <f aca="false">AC7*$X7</f>
        <v>0</v>
      </c>
      <c r="BA7" s="1"/>
      <c r="BB7" s="1"/>
      <c r="BC7" s="1"/>
      <c r="BD7" s="1"/>
      <c r="BE7" s="1"/>
      <c r="BF7" s="1"/>
    </row>
    <row r="8" s="48" customFormat="true" ht="15" hidden="false" customHeight="true" outlineLevel="0" collapsed="false">
      <c r="A8" s="42" t="s">
        <v>77</v>
      </c>
      <c r="B8" s="42" t="n">
        <v>31</v>
      </c>
      <c r="C8" s="43"/>
      <c r="D8" s="44"/>
      <c r="E8" s="44"/>
      <c r="F8" s="44"/>
      <c r="G8" s="44"/>
      <c r="H8" s="44" t="n">
        <f aca="false">B8+D8+E8+F8+G8+C8</f>
        <v>31</v>
      </c>
      <c r="I8" s="45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7" t="n">
        <f aca="false">J8+K8+L8+M8+N8+O8+P8+Q8+R8+S8+T8+U8</f>
        <v>0</v>
      </c>
      <c r="W8" s="47" t="n">
        <f aca="false">H8-V8</f>
        <v>31</v>
      </c>
      <c r="X8" s="48" t="n">
        <v>3</v>
      </c>
      <c r="Y8" s="48" t="n">
        <f aca="false">B8*$X8</f>
        <v>93</v>
      </c>
      <c r="Z8" s="48" t="n">
        <f aca="false">C8*$X8</f>
        <v>0</v>
      </c>
      <c r="AA8" s="48" t="n">
        <f aca="false">D8*$X8</f>
        <v>0</v>
      </c>
      <c r="AB8" s="48" t="n">
        <f aca="false">E8*$X8</f>
        <v>0</v>
      </c>
      <c r="AC8" s="48" t="n">
        <f aca="false">F8*$X8</f>
        <v>0</v>
      </c>
      <c r="AD8" s="48" t="n">
        <f aca="false">G8*$X8</f>
        <v>0</v>
      </c>
      <c r="AE8" s="48" t="n">
        <f aca="false">H8*$X8</f>
        <v>93</v>
      </c>
      <c r="AF8" s="48" t="n">
        <f aca="false">I8*$X8</f>
        <v>0</v>
      </c>
      <c r="AG8" s="48" t="n">
        <f aca="false">J8*$X8</f>
        <v>0</v>
      </c>
      <c r="AH8" s="48" t="n">
        <f aca="false">K8*$X8</f>
        <v>0</v>
      </c>
      <c r="AI8" s="48" t="n">
        <f aca="false">L8*$X8</f>
        <v>0</v>
      </c>
      <c r="AJ8" s="48" t="n">
        <f aca="false">M8*$X8</f>
        <v>0</v>
      </c>
      <c r="AK8" s="48" t="n">
        <f aca="false">N8*$X8</f>
        <v>0</v>
      </c>
      <c r="AL8" s="48" t="n">
        <f aca="false">O8*$X8</f>
        <v>0</v>
      </c>
      <c r="AM8" s="48" t="n">
        <f aca="false">P8*$X8</f>
        <v>0</v>
      </c>
      <c r="AN8" s="48" t="n">
        <f aca="false">Q8*$X8</f>
        <v>0</v>
      </c>
      <c r="AO8" s="48" t="n">
        <f aca="false">R8*$X8</f>
        <v>0</v>
      </c>
      <c r="AP8" s="48" t="n">
        <f aca="false">S8*$X8</f>
        <v>0</v>
      </c>
      <c r="AQ8" s="48" t="n">
        <f aca="false">T8*$X8</f>
        <v>0</v>
      </c>
      <c r="AR8" s="48" t="n">
        <f aca="false">U8*$X8</f>
        <v>0</v>
      </c>
      <c r="AS8" s="48" t="n">
        <f aca="false">V8*$X8</f>
        <v>0</v>
      </c>
      <c r="AT8" s="48" t="n">
        <f aca="false">W8*$X8</f>
        <v>93</v>
      </c>
      <c r="AU8" s="48" t="n">
        <f aca="false">X8*$X8</f>
        <v>9</v>
      </c>
      <c r="AV8" s="48" t="n">
        <f aca="false">Y8*$X8</f>
        <v>279</v>
      </c>
      <c r="AW8" s="48" t="n">
        <f aca="false">Z8*$X8</f>
        <v>0</v>
      </c>
      <c r="AX8" s="48" t="n">
        <f aca="false">AA8*$X8</f>
        <v>0</v>
      </c>
      <c r="AY8" s="48" t="n">
        <f aca="false">AB8*$X8</f>
        <v>0</v>
      </c>
      <c r="AZ8" s="48" t="n">
        <f aca="false">AC8*$X8</f>
        <v>0</v>
      </c>
      <c r="BA8" s="1"/>
      <c r="BB8" s="1"/>
      <c r="BC8" s="1"/>
      <c r="BD8" s="1"/>
      <c r="BE8" s="1"/>
      <c r="BF8" s="1"/>
    </row>
    <row r="9" s="48" customFormat="true" ht="15" hidden="false" customHeight="true" outlineLevel="0" collapsed="false">
      <c r="A9" s="42" t="s">
        <v>78</v>
      </c>
      <c r="B9" s="42" t="n">
        <v>0</v>
      </c>
      <c r="C9" s="43"/>
      <c r="D9" s="44"/>
      <c r="E9" s="44"/>
      <c r="F9" s="44"/>
      <c r="G9" s="44"/>
      <c r="H9" s="44" t="n">
        <f aca="false">B9+D9+E9+F9+G9+C9</f>
        <v>0</v>
      </c>
      <c r="I9" s="45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7" t="n">
        <f aca="false">J9+K9+L9+M9+N9+O9+P9+Q9+R9+S9+T9+U9</f>
        <v>0</v>
      </c>
      <c r="W9" s="47" t="n">
        <f aca="false">H9-V9</f>
        <v>0</v>
      </c>
      <c r="X9" s="48" t="n">
        <v>0.84</v>
      </c>
      <c r="Y9" s="48" t="n">
        <f aca="false">B9*$X9</f>
        <v>0</v>
      </c>
      <c r="Z9" s="48" t="n">
        <f aca="false">C9*$X9</f>
        <v>0</v>
      </c>
      <c r="AA9" s="48" t="n">
        <f aca="false">D9*$X9</f>
        <v>0</v>
      </c>
      <c r="AB9" s="48" t="n">
        <f aca="false">E9*$X9</f>
        <v>0</v>
      </c>
      <c r="AC9" s="48" t="n">
        <f aca="false">F9*$X9</f>
        <v>0</v>
      </c>
      <c r="AD9" s="48" t="n">
        <f aca="false">G9*$X9</f>
        <v>0</v>
      </c>
      <c r="AE9" s="48" t="n">
        <f aca="false">H9*$X9</f>
        <v>0</v>
      </c>
      <c r="AF9" s="48" t="n">
        <f aca="false">I9*$X9</f>
        <v>0</v>
      </c>
      <c r="AG9" s="48" t="n">
        <f aca="false">J9*$X9</f>
        <v>0</v>
      </c>
      <c r="AH9" s="48" t="n">
        <f aca="false">K9*$X9</f>
        <v>0</v>
      </c>
      <c r="AI9" s="48" t="n">
        <f aca="false">L9*$X9</f>
        <v>0</v>
      </c>
      <c r="AJ9" s="48" t="n">
        <f aca="false">M9*$X9</f>
        <v>0</v>
      </c>
      <c r="AK9" s="48" t="n">
        <f aca="false">N9*$X9</f>
        <v>0</v>
      </c>
      <c r="AL9" s="48" t="n">
        <f aca="false">O9*$X9</f>
        <v>0</v>
      </c>
      <c r="AM9" s="48" t="n">
        <f aca="false">P9*$X9</f>
        <v>0</v>
      </c>
      <c r="AN9" s="48" t="n">
        <f aca="false">Q9*$X9</f>
        <v>0</v>
      </c>
      <c r="AO9" s="48" t="n">
        <f aca="false">R9*$X9</f>
        <v>0</v>
      </c>
      <c r="AP9" s="48" t="n">
        <f aca="false">S9*$X9</f>
        <v>0</v>
      </c>
      <c r="AQ9" s="48" t="n">
        <f aca="false">T9*$X9</f>
        <v>0</v>
      </c>
      <c r="AR9" s="48" t="n">
        <f aca="false">U9*$X9</f>
        <v>0</v>
      </c>
      <c r="AS9" s="48" t="n">
        <f aca="false">V9*$X9</f>
        <v>0</v>
      </c>
      <c r="AT9" s="48" t="n">
        <f aca="false">W9*$X9</f>
        <v>0</v>
      </c>
      <c r="AU9" s="48" t="n">
        <f aca="false">X9*$X9</f>
        <v>0.7056</v>
      </c>
      <c r="AV9" s="48" t="n">
        <f aca="false">Y9*$X9</f>
        <v>0</v>
      </c>
      <c r="AW9" s="48" t="n">
        <f aca="false">Z9*$X9</f>
        <v>0</v>
      </c>
      <c r="AX9" s="48" t="n">
        <f aca="false">AA9*$X9</f>
        <v>0</v>
      </c>
      <c r="AY9" s="48" t="n">
        <f aca="false">AB9*$X9</f>
        <v>0</v>
      </c>
      <c r="AZ9" s="48" t="n">
        <f aca="false">AC9*$X9</f>
        <v>0</v>
      </c>
      <c r="BA9" s="1"/>
      <c r="BB9" s="1"/>
      <c r="BC9" s="1"/>
      <c r="BD9" s="1"/>
      <c r="BE9" s="1"/>
      <c r="BF9" s="1"/>
    </row>
    <row r="10" s="48" customFormat="true" ht="15" hidden="false" customHeight="true" outlineLevel="0" collapsed="false">
      <c r="A10" s="42" t="s">
        <v>79</v>
      </c>
      <c r="B10" s="42" t="n">
        <v>886</v>
      </c>
      <c r="C10" s="43"/>
      <c r="D10" s="44"/>
      <c r="E10" s="44" t="n">
        <v>57</v>
      </c>
      <c r="F10" s="44"/>
      <c r="G10" s="44" t="n">
        <v>8</v>
      </c>
      <c r="H10" s="44" t="n">
        <f aca="false">B10+D10+E10+F10+G10+C10</f>
        <v>951</v>
      </c>
      <c r="I10" s="45"/>
      <c r="J10" s="49"/>
      <c r="K10" s="49"/>
      <c r="L10" s="49"/>
      <c r="M10" s="49" t="n">
        <v>439</v>
      </c>
      <c r="N10" s="49"/>
      <c r="O10" s="49"/>
      <c r="P10" s="49" t="n">
        <v>347</v>
      </c>
      <c r="Q10" s="49"/>
      <c r="R10" s="49"/>
      <c r="S10" s="49"/>
      <c r="T10" s="49" t="n">
        <v>40</v>
      </c>
      <c r="U10" s="49" t="n">
        <v>125</v>
      </c>
      <c r="V10" s="47" t="n">
        <f aca="false">J10+K10+L10+M10+N10+O10+P10+Q10+R10+S10+T10+U10</f>
        <v>951</v>
      </c>
      <c r="W10" s="47" t="n">
        <f aca="false">H10-V10</f>
        <v>0</v>
      </c>
      <c r="X10" s="48" t="n">
        <v>1.26</v>
      </c>
      <c r="Y10" s="48" t="n">
        <f aca="false">B10*$X10</f>
        <v>1116.36</v>
      </c>
      <c r="Z10" s="48" t="n">
        <f aca="false">C10*$X10</f>
        <v>0</v>
      </c>
      <c r="AA10" s="48" t="n">
        <f aca="false">D10*$X10</f>
        <v>0</v>
      </c>
      <c r="AB10" s="48" t="n">
        <f aca="false">E10*$X10</f>
        <v>71.82</v>
      </c>
      <c r="AC10" s="48" t="n">
        <f aca="false">F10*$X10</f>
        <v>0</v>
      </c>
      <c r="AD10" s="48" t="n">
        <f aca="false">G10*$X10</f>
        <v>10.08</v>
      </c>
      <c r="AE10" s="48" t="n">
        <f aca="false">H10*$X10</f>
        <v>1198.26</v>
      </c>
      <c r="AF10" s="48" t="n">
        <f aca="false">I10*$X10</f>
        <v>0</v>
      </c>
      <c r="AG10" s="48" t="n">
        <f aca="false">J10*$X10</f>
        <v>0</v>
      </c>
      <c r="AH10" s="48" t="n">
        <f aca="false">K10*$X10</f>
        <v>0</v>
      </c>
      <c r="AI10" s="48" t="n">
        <f aca="false">L10*$X10</f>
        <v>0</v>
      </c>
      <c r="AJ10" s="48" t="n">
        <f aca="false">M10*$X10</f>
        <v>553.14</v>
      </c>
      <c r="AK10" s="48" t="n">
        <f aca="false">N10*$X10</f>
        <v>0</v>
      </c>
      <c r="AL10" s="48" t="n">
        <f aca="false">O10*$X10</f>
        <v>0</v>
      </c>
      <c r="AM10" s="48" t="n">
        <f aca="false">P10*$X10</f>
        <v>437.22</v>
      </c>
      <c r="AN10" s="48" t="n">
        <f aca="false">Q10*$X10</f>
        <v>0</v>
      </c>
      <c r="AO10" s="48" t="n">
        <f aca="false">R10*$X10</f>
        <v>0</v>
      </c>
      <c r="AP10" s="48" t="n">
        <f aca="false">S10*$X10</f>
        <v>0</v>
      </c>
      <c r="AQ10" s="48" t="n">
        <f aca="false">T10*$X10</f>
        <v>50.4</v>
      </c>
      <c r="AR10" s="48" t="n">
        <f aca="false">U10*$X10</f>
        <v>157.5</v>
      </c>
      <c r="AS10" s="48" t="n">
        <f aca="false">V10*$X10</f>
        <v>1198.26</v>
      </c>
      <c r="AT10" s="48" t="n">
        <f aca="false">W10*$X10</f>
        <v>0</v>
      </c>
      <c r="AU10" s="48" t="n">
        <f aca="false">X10*$X10</f>
        <v>1.5876</v>
      </c>
      <c r="AV10" s="48" t="n">
        <f aca="false">Y10*$X10</f>
        <v>1406.6136</v>
      </c>
      <c r="AW10" s="48" t="n">
        <f aca="false">Z10*$X10</f>
        <v>0</v>
      </c>
      <c r="AX10" s="48" t="n">
        <f aca="false">AA10*$X10</f>
        <v>0</v>
      </c>
      <c r="AY10" s="48" t="n">
        <f aca="false">AB10*$X10</f>
        <v>90.4932</v>
      </c>
      <c r="AZ10" s="48" t="n">
        <f aca="false">AC10*$X10</f>
        <v>0</v>
      </c>
      <c r="BA10" s="1"/>
      <c r="BB10" s="1"/>
      <c r="BC10" s="1"/>
      <c r="BD10" s="1"/>
      <c r="BE10" s="1"/>
      <c r="BF10" s="1"/>
    </row>
    <row r="11" s="48" customFormat="true" ht="15" hidden="false" customHeight="true" outlineLevel="0" collapsed="false">
      <c r="A11" s="42" t="s">
        <v>80</v>
      </c>
      <c r="B11" s="42" t="n">
        <v>0</v>
      </c>
      <c r="C11" s="43"/>
      <c r="D11" s="44"/>
      <c r="E11" s="44"/>
      <c r="F11" s="44"/>
      <c r="G11" s="44"/>
      <c r="H11" s="44" t="n">
        <f aca="false">B11+D11+E11+F11+G11+C11</f>
        <v>0</v>
      </c>
      <c r="I11" s="45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7" t="n">
        <f aca="false">J11+K11+L11+M11+N11+O11+P11+Q11+R11+S11+T11+U11</f>
        <v>0</v>
      </c>
      <c r="W11" s="47" t="n">
        <f aca="false">H11-V11</f>
        <v>0</v>
      </c>
      <c r="X11" s="48" t="n">
        <v>1.26</v>
      </c>
      <c r="Y11" s="48" t="n">
        <f aca="false">B11*$X11</f>
        <v>0</v>
      </c>
      <c r="Z11" s="48" t="n">
        <f aca="false">C11*$X11</f>
        <v>0</v>
      </c>
      <c r="AA11" s="48" t="n">
        <f aca="false">D11*$X11</f>
        <v>0</v>
      </c>
      <c r="AB11" s="48" t="n">
        <f aca="false">E11*$X11</f>
        <v>0</v>
      </c>
      <c r="AC11" s="48" t="n">
        <f aca="false">F11*$X11</f>
        <v>0</v>
      </c>
      <c r="AD11" s="48" t="n">
        <f aca="false">G11*$X11</f>
        <v>0</v>
      </c>
      <c r="AE11" s="48" t="n">
        <f aca="false">H11*$X11</f>
        <v>0</v>
      </c>
      <c r="AF11" s="48" t="n">
        <f aca="false">I11*$X11</f>
        <v>0</v>
      </c>
      <c r="AG11" s="48" t="n">
        <f aca="false">J11*$X11</f>
        <v>0</v>
      </c>
      <c r="AH11" s="48" t="n">
        <f aca="false">K11*$X11</f>
        <v>0</v>
      </c>
      <c r="AI11" s="48" t="n">
        <f aca="false">L11*$X11</f>
        <v>0</v>
      </c>
      <c r="AJ11" s="48" t="n">
        <f aca="false">M11*$X11</f>
        <v>0</v>
      </c>
      <c r="AK11" s="48" t="n">
        <f aca="false">N11*$X11</f>
        <v>0</v>
      </c>
      <c r="AL11" s="48" t="n">
        <f aca="false">O11*$X11</f>
        <v>0</v>
      </c>
      <c r="AM11" s="48" t="n">
        <f aca="false">P11*$X11</f>
        <v>0</v>
      </c>
      <c r="AN11" s="48" t="n">
        <f aca="false">Q11*$X11</f>
        <v>0</v>
      </c>
      <c r="AO11" s="48" t="n">
        <f aca="false">R11*$X11</f>
        <v>0</v>
      </c>
      <c r="AP11" s="48" t="n">
        <f aca="false">S11*$X11</f>
        <v>0</v>
      </c>
      <c r="AQ11" s="48" t="n">
        <f aca="false">T11*$X11</f>
        <v>0</v>
      </c>
      <c r="AR11" s="48" t="n">
        <f aca="false">U11*$X11</f>
        <v>0</v>
      </c>
      <c r="AS11" s="48" t="n">
        <f aca="false">V11*$X11</f>
        <v>0</v>
      </c>
      <c r="AT11" s="48" t="n">
        <f aca="false">W11*$X11</f>
        <v>0</v>
      </c>
      <c r="AU11" s="48" t="n">
        <f aca="false">X11*$X11</f>
        <v>1.5876</v>
      </c>
      <c r="AV11" s="48" t="n">
        <f aca="false">Y11*$X11</f>
        <v>0</v>
      </c>
      <c r="AW11" s="48" t="n">
        <f aca="false">Z11*$X11</f>
        <v>0</v>
      </c>
      <c r="AX11" s="48" t="n">
        <f aca="false">AA11*$X11</f>
        <v>0</v>
      </c>
      <c r="AY11" s="48" t="n">
        <f aca="false">AB11*$X11</f>
        <v>0</v>
      </c>
      <c r="AZ11" s="48" t="n">
        <f aca="false">AC11*$X11</f>
        <v>0</v>
      </c>
      <c r="BA11" s="1"/>
      <c r="BB11" s="1"/>
      <c r="BC11" s="1"/>
      <c r="BD11" s="1"/>
      <c r="BE11" s="1"/>
      <c r="BF11" s="1"/>
    </row>
    <row r="12" s="48" customFormat="true" ht="15" hidden="false" customHeight="true" outlineLevel="0" collapsed="false">
      <c r="A12" s="42" t="s">
        <v>81</v>
      </c>
      <c r="B12" s="42" t="n">
        <v>267</v>
      </c>
      <c r="C12" s="43"/>
      <c r="D12" s="44"/>
      <c r="E12" s="44"/>
      <c r="F12" s="44"/>
      <c r="G12" s="44"/>
      <c r="H12" s="44" t="n">
        <f aca="false">B12+D12+E12+F12+G12+C12</f>
        <v>267</v>
      </c>
      <c r="I12" s="45"/>
      <c r="J12" s="49"/>
      <c r="K12" s="49"/>
      <c r="L12" s="49"/>
      <c r="M12" s="49" t="n">
        <v>267</v>
      </c>
      <c r="N12" s="49"/>
      <c r="O12" s="49"/>
      <c r="P12" s="49"/>
      <c r="Q12" s="49"/>
      <c r="R12" s="49"/>
      <c r="S12" s="49"/>
      <c r="T12" s="49"/>
      <c r="U12" s="49"/>
      <c r="V12" s="47" t="n">
        <f aca="false">J12+K12+L12+M12+N12+O12+P12+Q12+R12+S12+T12+U12</f>
        <v>267</v>
      </c>
      <c r="W12" s="47" t="n">
        <f aca="false">H12-V12</f>
        <v>0</v>
      </c>
      <c r="X12" s="48" t="n">
        <v>1.68</v>
      </c>
      <c r="Y12" s="48" t="n">
        <f aca="false">B12*$X12</f>
        <v>448.56</v>
      </c>
      <c r="Z12" s="48" t="n">
        <f aca="false">C12*$X12</f>
        <v>0</v>
      </c>
      <c r="AA12" s="48" t="n">
        <f aca="false">D12*$X12</f>
        <v>0</v>
      </c>
      <c r="AB12" s="48" t="n">
        <f aca="false">E12*$X12</f>
        <v>0</v>
      </c>
      <c r="AC12" s="48" t="n">
        <f aca="false">F12*$X12</f>
        <v>0</v>
      </c>
      <c r="AD12" s="48" t="n">
        <f aca="false">G12*$X12</f>
        <v>0</v>
      </c>
      <c r="AE12" s="48" t="n">
        <f aca="false">H12*$X12</f>
        <v>448.56</v>
      </c>
      <c r="AF12" s="48" t="n">
        <f aca="false">I12*$X12</f>
        <v>0</v>
      </c>
      <c r="AG12" s="48" t="n">
        <f aca="false">J12*$X12</f>
        <v>0</v>
      </c>
      <c r="AH12" s="48" t="n">
        <f aca="false">K12*$X12</f>
        <v>0</v>
      </c>
      <c r="AI12" s="48" t="n">
        <f aca="false">L12*$X12</f>
        <v>0</v>
      </c>
      <c r="AJ12" s="48" t="n">
        <f aca="false">M12*$X12</f>
        <v>448.56</v>
      </c>
      <c r="AK12" s="48" t="n">
        <f aca="false">N12*$X12</f>
        <v>0</v>
      </c>
      <c r="AL12" s="48" t="n">
        <f aca="false">O12*$X12</f>
        <v>0</v>
      </c>
      <c r="AM12" s="48" t="n">
        <f aca="false">P12*$X12</f>
        <v>0</v>
      </c>
      <c r="AN12" s="48" t="n">
        <f aca="false">Q12*$X12</f>
        <v>0</v>
      </c>
      <c r="AO12" s="48" t="n">
        <f aca="false">R12*$X12</f>
        <v>0</v>
      </c>
      <c r="AP12" s="48" t="n">
        <f aca="false">S12*$X12</f>
        <v>0</v>
      </c>
      <c r="AQ12" s="48" t="n">
        <f aca="false">T12*$X12</f>
        <v>0</v>
      </c>
      <c r="AR12" s="48" t="n">
        <f aca="false">U12*$X12</f>
        <v>0</v>
      </c>
      <c r="AS12" s="48" t="n">
        <f aca="false">V12*$X12</f>
        <v>448.56</v>
      </c>
      <c r="AT12" s="48" t="n">
        <f aca="false">W12*$X12</f>
        <v>0</v>
      </c>
      <c r="AU12" s="48" t="n">
        <f aca="false">X12*$X12</f>
        <v>2.8224</v>
      </c>
      <c r="AV12" s="48" t="n">
        <f aca="false">Y12*$X12</f>
        <v>753.5808</v>
      </c>
      <c r="AW12" s="48" t="n">
        <f aca="false">Z12*$X12</f>
        <v>0</v>
      </c>
      <c r="AX12" s="48" t="n">
        <f aca="false">AA12*$X12</f>
        <v>0</v>
      </c>
      <c r="AY12" s="48" t="n">
        <f aca="false">AB12*$X12</f>
        <v>0</v>
      </c>
      <c r="AZ12" s="48" t="n">
        <f aca="false">AC12*$X12</f>
        <v>0</v>
      </c>
      <c r="BA12" s="1"/>
      <c r="BB12" s="1"/>
      <c r="BC12" s="1"/>
      <c r="BD12" s="1"/>
      <c r="BE12" s="1"/>
      <c r="BF12" s="1"/>
    </row>
    <row r="13" s="48" customFormat="true" ht="15" hidden="false" customHeight="true" outlineLevel="0" collapsed="false">
      <c r="A13" s="42" t="s">
        <v>82</v>
      </c>
      <c r="B13" s="42" t="n">
        <v>0</v>
      </c>
      <c r="C13" s="43"/>
      <c r="D13" s="44"/>
      <c r="E13" s="44"/>
      <c r="F13" s="44"/>
      <c r="G13" s="44"/>
      <c r="H13" s="44" t="n">
        <f aca="false">B13+D13+E13+F13+G13+C13</f>
        <v>0</v>
      </c>
      <c r="I13" s="45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7" t="n">
        <f aca="false">J13+K13+L13+M13+N13+O13+P13+Q13+R13+S13+T13+U13</f>
        <v>0</v>
      </c>
      <c r="W13" s="47" t="n">
        <f aca="false">H13-V13</f>
        <v>0</v>
      </c>
      <c r="X13" s="48" t="n">
        <v>1.68</v>
      </c>
      <c r="Y13" s="48" t="n">
        <f aca="false">B13*$X13</f>
        <v>0</v>
      </c>
      <c r="Z13" s="48" t="n">
        <f aca="false">C13*$X13</f>
        <v>0</v>
      </c>
      <c r="AA13" s="48" t="n">
        <f aca="false">D13*$X13</f>
        <v>0</v>
      </c>
      <c r="AB13" s="48" t="n">
        <f aca="false">E13*$X13</f>
        <v>0</v>
      </c>
      <c r="AC13" s="48" t="n">
        <f aca="false">F13*$X13</f>
        <v>0</v>
      </c>
      <c r="AD13" s="48" t="n">
        <f aca="false">G13*$X13</f>
        <v>0</v>
      </c>
      <c r="AE13" s="48" t="n">
        <f aca="false">H13*$X13</f>
        <v>0</v>
      </c>
      <c r="AF13" s="48" t="n">
        <f aca="false">I13*$X13</f>
        <v>0</v>
      </c>
      <c r="AG13" s="48" t="n">
        <f aca="false">J13*$X13</f>
        <v>0</v>
      </c>
      <c r="AH13" s="48" t="n">
        <f aca="false">K13*$X13</f>
        <v>0</v>
      </c>
      <c r="AI13" s="48" t="n">
        <f aca="false">L13*$X13</f>
        <v>0</v>
      </c>
      <c r="AJ13" s="48" t="n">
        <f aca="false">M13*$X13</f>
        <v>0</v>
      </c>
      <c r="AK13" s="48" t="n">
        <f aca="false">N13*$X13</f>
        <v>0</v>
      </c>
      <c r="AL13" s="48" t="n">
        <f aca="false">O13*$X13</f>
        <v>0</v>
      </c>
      <c r="AM13" s="48" t="n">
        <f aca="false">P13*$X13</f>
        <v>0</v>
      </c>
      <c r="AN13" s="48" t="n">
        <f aca="false">Q13*$X13</f>
        <v>0</v>
      </c>
      <c r="AO13" s="48" t="n">
        <f aca="false">R13*$X13</f>
        <v>0</v>
      </c>
      <c r="AP13" s="48" t="n">
        <f aca="false">S13*$X13</f>
        <v>0</v>
      </c>
      <c r="AQ13" s="48" t="n">
        <f aca="false">T13*$X13</f>
        <v>0</v>
      </c>
      <c r="AR13" s="48" t="n">
        <f aca="false">U13*$X13</f>
        <v>0</v>
      </c>
      <c r="AS13" s="48" t="n">
        <f aca="false">V13*$X13</f>
        <v>0</v>
      </c>
      <c r="AT13" s="48" t="n">
        <f aca="false">W13*$X13</f>
        <v>0</v>
      </c>
      <c r="AU13" s="48" t="n">
        <f aca="false">X13*$X13</f>
        <v>2.8224</v>
      </c>
      <c r="AV13" s="48" t="n">
        <f aca="false">Y13*$X13</f>
        <v>0</v>
      </c>
      <c r="AW13" s="48" t="n">
        <f aca="false">Z13*$X13</f>
        <v>0</v>
      </c>
      <c r="AX13" s="48" t="n">
        <f aca="false">AA13*$X13</f>
        <v>0</v>
      </c>
      <c r="AY13" s="48" t="n">
        <f aca="false">AB13*$X13</f>
        <v>0</v>
      </c>
      <c r="AZ13" s="48" t="n">
        <f aca="false">AC13*$X13</f>
        <v>0</v>
      </c>
      <c r="BA13" s="1"/>
      <c r="BB13" s="1"/>
      <c r="BC13" s="1"/>
      <c r="BD13" s="1"/>
      <c r="BE13" s="1"/>
      <c r="BF13" s="1"/>
    </row>
    <row r="14" s="48" customFormat="true" ht="15" hidden="false" customHeight="true" outlineLevel="0" collapsed="false">
      <c r="A14" s="42" t="s">
        <v>83</v>
      </c>
      <c r="B14" s="42" t="n">
        <v>279</v>
      </c>
      <c r="C14" s="43"/>
      <c r="D14" s="44"/>
      <c r="E14" s="44"/>
      <c r="F14" s="44"/>
      <c r="G14" s="44"/>
      <c r="H14" s="44" t="n">
        <f aca="false">B14+D14+E14+F14+G14+C14</f>
        <v>279</v>
      </c>
      <c r="I14" s="45"/>
      <c r="J14" s="49"/>
      <c r="K14" s="49"/>
      <c r="L14" s="49"/>
      <c r="M14" s="49" t="n">
        <v>158</v>
      </c>
      <c r="N14" s="49"/>
      <c r="O14" s="49"/>
      <c r="P14" s="49"/>
      <c r="Q14" s="49"/>
      <c r="R14" s="49"/>
      <c r="S14" s="49"/>
      <c r="T14" s="49"/>
      <c r="U14" s="49"/>
      <c r="V14" s="47" t="n">
        <f aca="false">J14+K14+L14+M14+N14+O14+P14+Q14+R14+S14+T14+U14</f>
        <v>158</v>
      </c>
      <c r="W14" s="47" t="n">
        <f aca="false">H14-V14</f>
        <v>121</v>
      </c>
      <c r="X14" s="48" t="n">
        <v>1.68</v>
      </c>
      <c r="Y14" s="48" t="n">
        <f aca="false">B14*$X14</f>
        <v>468.72</v>
      </c>
      <c r="Z14" s="48" t="n">
        <f aca="false">C14*$X14</f>
        <v>0</v>
      </c>
      <c r="AA14" s="48" t="n">
        <f aca="false">D14*$X14</f>
        <v>0</v>
      </c>
      <c r="AB14" s="48" t="n">
        <f aca="false">E14*$X14</f>
        <v>0</v>
      </c>
      <c r="AC14" s="48" t="n">
        <f aca="false">F14*$X14</f>
        <v>0</v>
      </c>
      <c r="AD14" s="48" t="n">
        <f aca="false">G14*$X14</f>
        <v>0</v>
      </c>
      <c r="AE14" s="48" t="n">
        <f aca="false">H14*$X14</f>
        <v>468.72</v>
      </c>
      <c r="AF14" s="48" t="n">
        <f aca="false">I14*$X14</f>
        <v>0</v>
      </c>
      <c r="AG14" s="48" t="n">
        <f aca="false">J14*$X14</f>
        <v>0</v>
      </c>
      <c r="AH14" s="48" t="n">
        <f aca="false">K14*$X14</f>
        <v>0</v>
      </c>
      <c r="AI14" s="48" t="n">
        <f aca="false">L14*$X14</f>
        <v>0</v>
      </c>
      <c r="AJ14" s="48" t="n">
        <f aca="false">M14*$X14</f>
        <v>265.44</v>
      </c>
      <c r="AK14" s="48" t="n">
        <f aca="false">N14*$X14</f>
        <v>0</v>
      </c>
      <c r="AL14" s="48" t="n">
        <f aca="false">O14*$X14</f>
        <v>0</v>
      </c>
      <c r="AM14" s="48" t="n">
        <f aca="false">P14*$X14</f>
        <v>0</v>
      </c>
      <c r="AN14" s="48" t="n">
        <f aca="false">Q14*$X14</f>
        <v>0</v>
      </c>
      <c r="AO14" s="48" t="n">
        <f aca="false">R14*$X14</f>
        <v>0</v>
      </c>
      <c r="AP14" s="48" t="n">
        <f aca="false">S14*$X14</f>
        <v>0</v>
      </c>
      <c r="AQ14" s="48" t="n">
        <f aca="false">T14*$X14</f>
        <v>0</v>
      </c>
      <c r="AR14" s="48" t="n">
        <f aca="false">U14*$X14</f>
        <v>0</v>
      </c>
      <c r="AS14" s="48" t="n">
        <f aca="false">V14*$X14</f>
        <v>265.44</v>
      </c>
      <c r="AT14" s="48" t="n">
        <f aca="false">W14*$X14</f>
        <v>203.28</v>
      </c>
      <c r="AU14" s="48" t="n">
        <f aca="false">X14*$X14</f>
        <v>2.8224</v>
      </c>
      <c r="AV14" s="48" t="n">
        <f aca="false">Y14*$X14</f>
        <v>787.4496</v>
      </c>
      <c r="AW14" s="48" t="n">
        <f aca="false">Z14*$X14</f>
        <v>0</v>
      </c>
      <c r="AX14" s="48" t="n">
        <f aca="false">AA14*$X14</f>
        <v>0</v>
      </c>
      <c r="AY14" s="48" t="n">
        <f aca="false">AB14*$X14</f>
        <v>0</v>
      </c>
      <c r="AZ14" s="48" t="n">
        <f aca="false">AC14*$X14</f>
        <v>0</v>
      </c>
      <c r="BA14" s="1"/>
      <c r="BB14" s="1"/>
      <c r="BC14" s="1"/>
      <c r="BD14" s="1"/>
      <c r="BE14" s="1"/>
      <c r="BF14" s="1"/>
    </row>
    <row r="15" s="48" customFormat="true" ht="15" hidden="false" customHeight="true" outlineLevel="0" collapsed="false">
      <c r="A15" s="42" t="s">
        <v>84</v>
      </c>
      <c r="B15" s="42" t="n">
        <v>0</v>
      </c>
      <c r="C15" s="43"/>
      <c r="D15" s="44"/>
      <c r="E15" s="44"/>
      <c r="F15" s="44"/>
      <c r="G15" s="44"/>
      <c r="H15" s="44" t="n">
        <f aca="false">B15+D15+E15+F15+G15+C15</f>
        <v>0</v>
      </c>
      <c r="I15" s="45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 t="n">
        <v>10</v>
      </c>
      <c r="U15" s="49" t="n">
        <v>10</v>
      </c>
      <c r="V15" s="47" t="n">
        <f aca="false">J15+K15+L15+M15+N15+O15+P15+Q15+R15+S15+T15+U15</f>
        <v>20</v>
      </c>
      <c r="W15" s="47" t="n">
        <f aca="false">H15-V15</f>
        <v>-20</v>
      </c>
      <c r="X15" s="48" t="n">
        <v>2.52</v>
      </c>
      <c r="Y15" s="48" t="n">
        <f aca="false">B15*$X15</f>
        <v>0</v>
      </c>
      <c r="Z15" s="48" t="n">
        <f aca="false">C15*$X15</f>
        <v>0</v>
      </c>
      <c r="AA15" s="48" t="n">
        <f aca="false">D15*$X15</f>
        <v>0</v>
      </c>
      <c r="AB15" s="48" t="n">
        <f aca="false">E15*$X15</f>
        <v>0</v>
      </c>
      <c r="AC15" s="48" t="n">
        <f aca="false">F15*$X15</f>
        <v>0</v>
      </c>
      <c r="AD15" s="48" t="n">
        <f aca="false">G15*$X15</f>
        <v>0</v>
      </c>
      <c r="AE15" s="48" t="n">
        <f aca="false">H15*$X15</f>
        <v>0</v>
      </c>
      <c r="AF15" s="48" t="n">
        <f aca="false">I15*$X15</f>
        <v>0</v>
      </c>
      <c r="AG15" s="48" t="n">
        <f aca="false">J15*$X15</f>
        <v>0</v>
      </c>
      <c r="AH15" s="48" t="n">
        <f aca="false">K15*$X15</f>
        <v>0</v>
      </c>
      <c r="AI15" s="48" t="n">
        <f aca="false">L15*$X15</f>
        <v>0</v>
      </c>
      <c r="AJ15" s="48" t="n">
        <f aca="false">M15*$X15</f>
        <v>0</v>
      </c>
      <c r="AK15" s="48" t="n">
        <f aca="false">N15*$X15</f>
        <v>0</v>
      </c>
      <c r="AL15" s="48" t="n">
        <f aca="false">O15*$X15</f>
        <v>0</v>
      </c>
      <c r="AM15" s="48" t="n">
        <f aca="false">P15*$X15</f>
        <v>0</v>
      </c>
      <c r="AN15" s="48" t="n">
        <f aca="false">Q15*$X15</f>
        <v>0</v>
      </c>
      <c r="AO15" s="48" t="n">
        <f aca="false">R15*$X15</f>
        <v>0</v>
      </c>
      <c r="AP15" s="48" t="n">
        <f aca="false">S15*$X15</f>
        <v>0</v>
      </c>
      <c r="AQ15" s="48" t="n">
        <f aca="false">T15*$X15</f>
        <v>25.2</v>
      </c>
      <c r="AR15" s="48" t="n">
        <f aca="false">U15*$X15</f>
        <v>25.2</v>
      </c>
      <c r="AS15" s="48" t="n">
        <f aca="false">V15*$X15</f>
        <v>50.4</v>
      </c>
      <c r="AT15" s="48" t="n">
        <f aca="false">W15*$X15</f>
        <v>-50.4</v>
      </c>
      <c r="AU15" s="48" t="n">
        <f aca="false">X15*$X15</f>
        <v>6.3504</v>
      </c>
      <c r="AV15" s="48" t="n">
        <f aca="false">Y15*$X15</f>
        <v>0</v>
      </c>
      <c r="AW15" s="48" t="n">
        <f aca="false">Z15*$X15</f>
        <v>0</v>
      </c>
      <c r="AX15" s="48" t="n">
        <f aca="false">AA15*$X15</f>
        <v>0</v>
      </c>
      <c r="AY15" s="48" t="n">
        <f aca="false">AB15*$X15</f>
        <v>0</v>
      </c>
      <c r="AZ15" s="48" t="n">
        <f aca="false">AC15*$X15</f>
        <v>0</v>
      </c>
      <c r="BA15" s="1"/>
      <c r="BB15" s="1"/>
      <c r="BC15" s="1"/>
      <c r="BD15" s="1"/>
      <c r="BE15" s="1"/>
      <c r="BF15" s="1"/>
    </row>
    <row r="16" s="48" customFormat="true" ht="15" hidden="false" customHeight="true" outlineLevel="0" collapsed="false">
      <c r="A16" s="42" t="s">
        <v>85</v>
      </c>
      <c r="B16" s="42" t="n">
        <v>0</v>
      </c>
      <c r="C16" s="43"/>
      <c r="D16" s="44"/>
      <c r="E16" s="44"/>
      <c r="F16" s="44"/>
      <c r="G16" s="44"/>
      <c r="H16" s="44" t="n">
        <f aca="false">B16+D16+E16+F16+G16+C16</f>
        <v>0</v>
      </c>
      <c r="I16" s="45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7" t="n">
        <f aca="false">J16+K16+L16+M16+N16+O16+P16+Q16+R16+S16+T16+U16</f>
        <v>0</v>
      </c>
      <c r="W16" s="47" t="n">
        <f aca="false">H16-V16</f>
        <v>0</v>
      </c>
      <c r="X16" s="48" t="n">
        <v>2.52</v>
      </c>
      <c r="Y16" s="48" t="n">
        <f aca="false">B16*$X16</f>
        <v>0</v>
      </c>
      <c r="Z16" s="48" t="n">
        <f aca="false">C16*$X16</f>
        <v>0</v>
      </c>
      <c r="AA16" s="48" t="n">
        <f aca="false">D16*$X16</f>
        <v>0</v>
      </c>
      <c r="AB16" s="48" t="n">
        <f aca="false">E16*$X16</f>
        <v>0</v>
      </c>
      <c r="AC16" s="48" t="n">
        <f aca="false">F16*$X16</f>
        <v>0</v>
      </c>
      <c r="AD16" s="48" t="n">
        <f aca="false">G16*$X16</f>
        <v>0</v>
      </c>
      <c r="AE16" s="48" t="n">
        <f aca="false">H16*$X16</f>
        <v>0</v>
      </c>
      <c r="AF16" s="48" t="n">
        <f aca="false">I16*$X16</f>
        <v>0</v>
      </c>
      <c r="AG16" s="48" t="n">
        <f aca="false">J16*$X16</f>
        <v>0</v>
      </c>
      <c r="AH16" s="48" t="n">
        <f aca="false">K16*$X16</f>
        <v>0</v>
      </c>
      <c r="AI16" s="48" t="n">
        <f aca="false">L16*$X16</f>
        <v>0</v>
      </c>
      <c r="AJ16" s="48" t="n">
        <f aca="false">M16*$X16</f>
        <v>0</v>
      </c>
      <c r="AK16" s="48" t="n">
        <f aca="false">N16*$X16</f>
        <v>0</v>
      </c>
      <c r="AL16" s="48" t="n">
        <f aca="false">O16*$X16</f>
        <v>0</v>
      </c>
      <c r="AM16" s="48" t="n">
        <f aca="false">P16*$X16</f>
        <v>0</v>
      </c>
      <c r="AN16" s="48" t="n">
        <f aca="false">Q16*$X16</f>
        <v>0</v>
      </c>
      <c r="AO16" s="48" t="n">
        <f aca="false">R16*$X16</f>
        <v>0</v>
      </c>
      <c r="AP16" s="48" t="n">
        <f aca="false">S16*$X16</f>
        <v>0</v>
      </c>
      <c r="AQ16" s="48" t="n">
        <f aca="false">T16*$X16</f>
        <v>0</v>
      </c>
      <c r="AR16" s="48" t="n">
        <f aca="false">U16*$X16</f>
        <v>0</v>
      </c>
      <c r="AS16" s="48" t="n">
        <f aca="false">V16*$X16</f>
        <v>0</v>
      </c>
      <c r="AT16" s="48" t="n">
        <f aca="false">W16*$X16</f>
        <v>0</v>
      </c>
      <c r="AU16" s="48" t="n">
        <f aca="false">X16*$X16</f>
        <v>6.3504</v>
      </c>
      <c r="AV16" s="48" t="n">
        <f aca="false">Y16*$X16</f>
        <v>0</v>
      </c>
      <c r="AW16" s="48" t="n">
        <f aca="false">Z16*$X16</f>
        <v>0</v>
      </c>
      <c r="AX16" s="48" t="n">
        <f aca="false">AA16*$X16</f>
        <v>0</v>
      </c>
      <c r="AY16" s="48" t="n">
        <f aca="false">AB16*$X16</f>
        <v>0</v>
      </c>
      <c r="AZ16" s="48" t="n">
        <f aca="false">AC16*$X16</f>
        <v>0</v>
      </c>
      <c r="BA16" s="1"/>
      <c r="BB16" s="1"/>
      <c r="BC16" s="1"/>
      <c r="BD16" s="1"/>
      <c r="BE16" s="1"/>
      <c r="BF16" s="1"/>
    </row>
    <row r="17" s="48" customFormat="true" ht="15" hidden="false" customHeight="true" outlineLevel="0" collapsed="false">
      <c r="A17" s="42" t="s">
        <v>86</v>
      </c>
      <c r="B17" s="42" t="n">
        <v>0</v>
      </c>
      <c r="C17" s="43"/>
      <c r="D17" s="44"/>
      <c r="E17" s="44"/>
      <c r="F17" s="44"/>
      <c r="G17" s="44"/>
      <c r="H17" s="44" t="n">
        <f aca="false">B17+D17+E17+F17+G17+C17</f>
        <v>0</v>
      </c>
      <c r="I17" s="45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 t="n">
        <v>10</v>
      </c>
      <c r="U17" s="49"/>
      <c r="V17" s="47" t="n">
        <f aca="false">J17+K17+L17+M17+N17+O17+P17+Q17+R17+S17+T17+U17</f>
        <v>10</v>
      </c>
      <c r="W17" s="47" t="n">
        <f aca="false">H17-V17</f>
        <v>-10</v>
      </c>
      <c r="X17" s="48" t="n">
        <v>3.36</v>
      </c>
      <c r="Y17" s="48" t="n">
        <f aca="false">B17*$X17</f>
        <v>0</v>
      </c>
      <c r="Z17" s="48" t="n">
        <f aca="false">C17*$X17</f>
        <v>0</v>
      </c>
      <c r="AA17" s="48" t="n">
        <f aca="false">D17*$X17</f>
        <v>0</v>
      </c>
      <c r="AB17" s="48" t="n">
        <f aca="false">E17*$X17</f>
        <v>0</v>
      </c>
      <c r="AC17" s="48" t="n">
        <f aca="false">F17*$X17</f>
        <v>0</v>
      </c>
      <c r="AD17" s="48" t="n">
        <f aca="false">G17*$X17</f>
        <v>0</v>
      </c>
      <c r="AE17" s="48" t="n">
        <f aca="false">H17*$X17</f>
        <v>0</v>
      </c>
      <c r="AF17" s="48" t="n">
        <f aca="false">I17*$X17</f>
        <v>0</v>
      </c>
      <c r="AG17" s="48" t="n">
        <f aca="false">J17*$X17</f>
        <v>0</v>
      </c>
      <c r="AH17" s="48" t="n">
        <f aca="false">K17*$X17</f>
        <v>0</v>
      </c>
      <c r="AI17" s="48" t="n">
        <f aca="false">L17*$X17</f>
        <v>0</v>
      </c>
      <c r="AJ17" s="48" t="n">
        <f aca="false">M17*$X17</f>
        <v>0</v>
      </c>
      <c r="AK17" s="48" t="n">
        <f aca="false">N17*$X17</f>
        <v>0</v>
      </c>
      <c r="AL17" s="48" t="n">
        <f aca="false">O17*$X17</f>
        <v>0</v>
      </c>
      <c r="AM17" s="48" t="n">
        <f aca="false">P17*$X17</f>
        <v>0</v>
      </c>
      <c r="AN17" s="48" t="n">
        <f aca="false">Q17*$X17</f>
        <v>0</v>
      </c>
      <c r="AO17" s="48" t="n">
        <f aca="false">R17*$X17</f>
        <v>0</v>
      </c>
      <c r="AP17" s="48" t="n">
        <f aca="false">S17*$X17</f>
        <v>0</v>
      </c>
      <c r="AQ17" s="48" t="n">
        <f aca="false">T17*$X17</f>
        <v>33.6</v>
      </c>
      <c r="AR17" s="48" t="n">
        <f aca="false">U17*$X17</f>
        <v>0</v>
      </c>
      <c r="AS17" s="48" t="n">
        <f aca="false">V17*$X17</f>
        <v>33.6</v>
      </c>
      <c r="AT17" s="48" t="n">
        <f aca="false">W17*$X17</f>
        <v>-33.6</v>
      </c>
      <c r="AU17" s="48" t="n">
        <f aca="false">X17*$X17</f>
        <v>11.2896</v>
      </c>
      <c r="AV17" s="48" t="n">
        <f aca="false">Y17*$X17</f>
        <v>0</v>
      </c>
      <c r="AW17" s="48" t="n">
        <f aca="false">Z17*$X17</f>
        <v>0</v>
      </c>
      <c r="AX17" s="48" t="n">
        <f aca="false">AA17*$X17</f>
        <v>0</v>
      </c>
      <c r="AY17" s="48" t="n">
        <f aca="false">AB17*$X17</f>
        <v>0</v>
      </c>
      <c r="AZ17" s="48" t="n">
        <f aca="false">AC17*$X17</f>
        <v>0</v>
      </c>
      <c r="BA17" s="1"/>
      <c r="BB17" s="1"/>
      <c r="BC17" s="1"/>
      <c r="BD17" s="1"/>
      <c r="BE17" s="1"/>
      <c r="BF17" s="1"/>
    </row>
    <row r="18" s="48" customFormat="true" ht="15" hidden="false" customHeight="true" outlineLevel="0" collapsed="false">
      <c r="A18" s="42" t="s">
        <v>87</v>
      </c>
      <c r="B18" s="42" t="n">
        <v>0</v>
      </c>
      <c r="C18" s="43"/>
      <c r="D18" s="44"/>
      <c r="E18" s="44"/>
      <c r="F18" s="44"/>
      <c r="G18" s="44"/>
      <c r="H18" s="44" t="n">
        <f aca="false">B18+D18+E18+F18+G18+C18</f>
        <v>0</v>
      </c>
      <c r="I18" s="45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7" t="n">
        <f aca="false">J18+K18+L18+M18+N18+O18+P18+Q18+R18+S18+T18+U18</f>
        <v>0</v>
      </c>
      <c r="W18" s="47" t="n">
        <f aca="false">H18-V18</f>
        <v>0</v>
      </c>
      <c r="X18" s="48" t="n">
        <v>4.2</v>
      </c>
      <c r="Y18" s="48" t="n">
        <f aca="false">B18*$X18</f>
        <v>0</v>
      </c>
      <c r="Z18" s="48" t="n">
        <f aca="false">C18*$X18</f>
        <v>0</v>
      </c>
      <c r="AA18" s="48" t="n">
        <f aca="false">D18*$X18</f>
        <v>0</v>
      </c>
      <c r="AB18" s="48" t="n">
        <f aca="false">E18*$X18</f>
        <v>0</v>
      </c>
      <c r="AC18" s="48" t="n">
        <f aca="false">F18*$X18</f>
        <v>0</v>
      </c>
      <c r="AD18" s="48" t="n">
        <f aca="false">G18*$X18</f>
        <v>0</v>
      </c>
      <c r="AE18" s="48" t="n">
        <f aca="false">H18*$X18</f>
        <v>0</v>
      </c>
      <c r="AF18" s="48" t="n">
        <f aca="false">I18*$X18</f>
        <v>0</v>
      </c>
      <c r="AG18" s="48" t="n">
        <f aca="false">J18*$X18</f>
        <v>0</v>
      </c>
      <c r="AH18" s="48" t="n">
        <f aca="false">K18*$X18</f>
        <v>0</v>
      </c>
      <c r="AI18" s="48" t="n">
        <f aca="false">L18*$X18</f>
        <v>0</v>
      </c>
      <c r="AJ18" s="48" t="n">
        <f aca="false">M18*$X18</f>
        <v>0</v>
      </c>
      <c r="AK18" s="48" t="n">
        <f aca="false">N18*$X18</f>
        <v>0</v>
      </c>
      <c r="AL18" s="48" t="n">
        <f aca="false">O18*$X18</f>
        <v>0</v>
      </c>
      <c r="AM18" s="48" t="n">
        <f aca="false">P18*$X18</f>
        <v>0</v>
      </c>
      <c r="AN18" s="48" t="n">
        <f aca="false">Q18*$X18</f>
        <v>0</v>
      </c>
      <c r="AO18" s="48" t="n">
        <f aca="false">R18*$X18</f>
        <v>0</v>
      </c>
      <c r="AP18" s="48" t="n">
        <f aca="false">S18*$X18</f>
        <v>0</v>
      </c>
      <c r="AQ18" s="48" t="n">
        <f aca="false">T18*$X18</f>
        <v>0</v>
      </c>
      <c r="AR18" s="48" t="n">
        <f aca="false">U18*$X18</f>
        <v>0</v>
      </c>
      <c r="AS18" s="48" t="n">
        <f aca="false">V18*$X18</f>
        <v>0</v>
      </c>
      <c r="AT18" s="48" t="n">
        <f aca="false">W18*$X18</f>
        <v>0</v>
      </c>
      <c r="AU18" s="48" t="n">
        <f aca="false">X18*$X18</f>
        <v>17.64</v>
      </c>
      <c r="AV18" s="48" t="n">
        <f aca="false">Y18*$X18</f>
        <v>0</v>
      </c>
      <c r="AW18" s="48" t="n">
        <f aca="false">Z18*$X18</f>
        <v>0</v>
      </c>
      <c r="AX18" s="48" t="n">
        <f aca="false">AA18*$X18</f>
        <v>0</v>
      </c>
      <c r="AY18" s="48" t="n">
        <f aca="false">AB18*$X18</f>
        <v>0</v>
      </c>
      <c r="AZ18" s="48" t="n">
        <f aca="false">AC18*$X18</f>
        <v>0</v>
      </c>
      <c r="BA18" s="1"/>
      <c r="BB18" s="1"/>
      <c r="BC18" s="1"/>
      <c r="BD18" s="1"/>
      <c r="BE18" s="1"/>
      <c r="BF18" s="1"/>
    </row>
    <row r="19" s="48" customFormat="true" ht="15" hidden="false" customHeight="true" outlineLevel="0" collapsed="false">
      <c r="A19" s="42" t="s">
        <v>88</v>
      </c>
      <c r="B19" s="42" t="n">
        <v>0</v>
      </c>
      <c r="C19" s="43"/>
      <c r="D19" s="44"/>
      <c r="E19" s="44"/>
      <c r="F19" s="44"/>
      <c r="G19" s="44"/>
      <c r="H19" s="44" t="n">
        <f aca="false">B19+D19+E19+F19+G19+C19</f>
        <v>0</v>
      </c>
      <c r="I19" s="45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7" t="n">
        <f aca="false">J19+K19+L19+M19+N19+O19+P19+Q19+R19+S19+T19+U19</f>
        <v>0</v>
      </c>
      <c r="W19" s="47" t="n">
        <f aca="false">H19-V19</f>
        <v>0</v>
      </c>
      <c r="X19" s="48" t="n">
        <v>5.04</v>
      </c>
      <c r="Y19" s="48" t="n">
        <f aca="false">B19*$X19</f>
        <v>0</v>
      </c>
      <c r="Z19" s="48" t="n">
        <f aca="false">C19*$X19</f>
        <v>0</v>
      </c>
      <c r="AA19" s="48" t="n">
        <f aca="false">D19*$X19</f>
        <v>0</v>
      </c>
      <c r="AB19" s="48" t="n">
        <f aca="false">E19*$X19</f>
        <v>0</v>
      </c>
      <c r="AC19" s="48" t="n">
        <f aca="false">F19*$X19</f>
        <v>0</v>
      </c>
      <c r="AD19" s="48" t="n">
        <f aca="false">G19*$X19</f>
        <v>0</v>
      </c>
      <c r="AE19" s="48" t="n">
        <f aca="false">H19*$X19</f>
        <v>0</v>
      </c>
      <c r="AF19" s="48" t="n">
        <f aca="false">I19*$X19</f>
        <v>0</v>
      </c>
      <c r="AG19" s="48" t="n">
        <f aca="false">J19*$X19</f>
        <v>0</v>
      </c>
      <c r="AH19" s="48" t="n">
        <f aca="false">K19*$X19</f>
        <v>0</v>
      </c>
      <c r="AI19" s="48" t="n">
        <f aca="false">L19*$X19</f>
        <v>0</v>
      </c>
      <c r="AJ19" s="48" t="n">
        <f aca="false">M19*$X19</f>
        <v>0</v>
      </c>
      <c r="AK19" s="48" t="n">
        <f aca="false">N19*$X19</f>
        <v>0</v>
      </c>
      <c r="AL19" s="48" t="n">
        <f aca="false">O19*$X19</f>
        <v>0</v>
      </c>
      <c r="AM19" s="48" t="n">
        <f aca="false">P19*$X19</f>
        <v>0</v>
      </c>
      <c r="AN19" s="48" t="n">
        <f aca="false">Q19*$X19</f>
        <v>0</v>
      </c>
      <c r="AO19" s="48" t="n">
        <f aca="false">R19*$X19</f>
        <v>0</v>
      </c>
      <c r="AP19" s="48" t="n">
        <f aca="false">S19*$X19</f>
        <v>0</v>
      </c>
      <c r="AQ19" s="48" t="n">
        <f aca="false">T19*$X19</f>
        <v>0</v>
      </c>
      <c r="AR19" s="48" t="n">
        <f aca="false">U19*$X19</f>
        <v>0</v>
      </c>
      <c r="AS19" s="48" t="n">
        <f aca="false">V19*$X19</f>
        <v>0</v>
      </c>
      <c r="AT19" s="48" t="n">
        <f aca="false">W19*$X19</f>
        <v>0</v>
      </c>
      <c r="AU19" s="48" t="n">
        <f aca="false">X19*$X19</f>
        <v>25.4016</v>
      </c>
      <c r="AV19" s="48" t="n">
        <f aca="false">Y19*$X19</f>
        <v>0</v>
      </c>
      <c r="AW19" s="48" t="n">
        <f aca="false">Z19*$X19</f>
        <v>0</v>
      </c>
      <c r="AX19" s="48" t="n">
        <f aca="false">AA19*$X19</f>
        <v>0</v>
      </c>
      <c r="AY19" s="48" t="n">
        <f aca="false">AB19*$X19</f>
        <v>0</v>
      </c>
      <c r="AZ19" s="48" t="n">
        <f aca="false">AC19*$X19</f>
        <v>0</v>
      </c>
      <c r="BA19" s="1"/>
      <c r="BB19" s="1"/>
      <c r="BC19" s="1"/>
      <c r="BD19" s="1"/>
      <c r="BE19" s="1"/>
      <c r="BF19" s="1"/>
    </row>
    <row r="20" s="48" customFormat="true" ht="15" hidden="false" customHeight="true" outlineLevel="0" collapsed="false">
      <c r="A20" s="42" t="s">
        <v>89</v>
      </c>
      <c r="B20" s="42" t="n">
        <v>0</v>
      </c>
      <c r="C20" s="43"/>
      <c r="D20" s="44"/>
      <c r="E20" s="44"/>
      <c r="F20" s="44"/>
      <c r="G20" s="44"/>
      <c r="H20" s="44" t="n">
        <f aca="false">B20+D20+E20+F20+G20+C20</f>
        <v>0</v>
      </c>
      <c r="I20" s="45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7" t="n">
        <f aca="false">J20+K20+L20+M20+N20+O20+P20+Q20+R20+S20+T20+U20</f>
        <v>0</v>
      </c>
      <c r="W20" s="47" t="n">
        <f aca="false">H20-V20</f>
        <v>0</v>
      </c>
      <c r="X20" s="48" t="n">
        <v>3.22</v>
      </c>
      <c r="Y20" s="48" t="n">
        <f aca="false">B20*$X20</f>
        <v>0</v>
      </c>
      <c r="Z20" s="48" t="n">
        <f aca="false">C20*$X20</f>
        <v>0</v>
      </c>
      <c r="AA20" s="48" t="n">
        <f aca="false">D20*$X20</f>
        <v>0</v>
      </c>
      <c r="AB20" s="48" t="n">
        <f aca="false">E20*$X20</f>
        <v>0</v>
      </c>
      <c r="AC20" s="48" t="n">
        <f aca="false">F20*$X20</f>
        <v>0</v>
      </c>
      <c r="AD20" s="48" t="n">
        <f aca="false">G20*$X20</f>
        <v>0</v>
      </c>
      <c r="AE20" s="48" t="n">
        <f aca="false">H20*$X20</f>
        <v>0</v>
      </c>
      <c r="AF20" s="48" t="n">
        <f aca="false">I20*$X20</f>
        <v>0</v>
      </c>
      <c r="AG20" s="48" t="n">
        <f aca="false">J20*$X20</f>
        <v>0</v>
      </c>
      <c r="AH20" s="48" t="n">
        <f aca="false">K20*$X20</f>
        <v>0</v>
      </c>
      <c r="AI20" s="48" t="n">
        <f aca="false">L20*$X20</f>
        <v>0</v>
      </c>
      <c r="AJ20" s="48" t="n">
        <f aca="false">M20*$X20</f>
        <v>0</v>
      </c>
      <c r="AK20" s="48" t="n">
        <f aca="false">N20*$X20</f>
        <v>0</v>
      </c>
      <c r="AL20" s="48" t="n">
        <f aca="false">O20*$X20</f>
        <v>0</v>
      </c>
      <c r="AM20" s="48" t="n">
        <f aca="false">P20*$X20</f>
        <v>0</v>
      </c>
      <c r="AN20" s="48" t="n">
        <f aca="false">Q20*$X20</f>
        <v>0</v>
      </c>
      <c r="AO20" s="48" t="n">
        <f aca="false">R20*$X20</f>
        <v>0</v>
      </c>
      <c r="AP20" s="48" t="n">
        <f aca="false">S20*$X20</f>
        <v>0</v>
      </c>
      <c r="AQ20" s="48" t="n">
        <f aca="false">T20*$X20</f>
        <v>0</v>
      </c>
      <c r="AR20" s="48" t="n">
        <f aca="false">U20*$X20</f>
        <v>0</v>
      </c>
      <c r="AS20" s="48" t="n">
        <f aca="false">V20*$X20</f>
        <v>0</v>
      </c>
      <c r="AT20" s="48" t="n">
        <f aca="false">W20*$X20</f>
        <v>0</v>
      </c>
      <c r="AU20" s="48" t="n">
        <f aca="false">X20*$X20</f>
        <v>10.3684</v>
      </c>
      <c r="AV20" s="48" t="n">
        <f aca="false">Y20*$X20</f>
        <v>0</v>
      </c>
      <c r="AW20" s="48" t="n">
        <f aca="false">Z20*$X20</f>
        <v>0</v>
      </c>
      <c r="AX20" s="48" t="n">
        <f aca="false">AA20*$X20</f>
        <v>0</v>
      </c>
      <c r="AY20" s="48" t="n">
        <f aca="false">AB20*$X20</f>
        <v>0</v>
      </c>
      <c r="AZ20" s="48" t="n">
        <f aca="false">AC20*$X20</f>
        <v>0</v>
      </c>
      <c r="BA20" s="1"/>
      <c r="BB20" s="1"/>
      <c r="BC20" s="1"/>
      <c r="BD20" s="1"/>
      <c r="BE20" s="1"/>
      <c r="BF20" s="1"/>
    </row>
    <row r="21" s="48" customFormat="true" ht="15" hidden="false" customHeight="true" outlineLevel="0" collapsed="false">
      <c r="A21" s="42" t="s">
        <v>90</v>
      </c>
      <c r="B21" s="42" t="n">
        <v>0</v>
      </c>
      <c r="C21" s="43"/>
      <c r="D21" s="44"/>
      <c r="E21" s="44"/>
      <c r="F21" s="44"/>
      <c r="G21" s="44"/>
      <c r="H21" s="44" t="n">
        <f aca="false">B21+D21+E21+F21+G21+C21</f>
        <v>0</v>
      </c>
      <c r="I21" s="45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7" t="n">
        <f aca="false">J21+K21+L21+M21+N21+O21+P21+Q21+R21+S21+T21+U21</f>
        <v>0</v>
      </c>
      <c r="W21" s="47" t="n">
        <f aca="false">H21-V21</f>
        <v>0</v>
      </c>
      <c r="X21" s="48" t="n">
        <v>1.92</v>
      </c>
      <c r="Y21" s="48" t="n">
        <f aca="false">B21*$X21</f>
        <v>0</v>
      </c>
      <c r="Z21" s="48" t="n">
        <f aca="false">C21*$X21</f>
        <v>0</v>
      </c>
      <c r="AA21" s="48" t="n">
        <f aca="false">D21*$X21</f>
        <v>0</v>
      </c>
      <c r="AB21" s="48" t="n">
        <f aca="false">E21*$X21</f>
        <v>0</v>
      </c>
      <c r="AC21" s="48" t="n">
        <f aca="false">F21*$X21</f>
        <v>0</v>
      </c>
      <c r="AD21" s="48" t="n">
        <f aca="false">G21*$X21</f>
        <v>0</v>
      </c>
      <c r="AE21" s="48" t="n">
        <f aca="false">H21*$X21</f>
        <v>0</v>
      </c>
      <c r="AF21" s="48" t="n">
        <f aca="false">I21*$X21</f>
        <v>0</v>
      </c>
      <c r="AG21" s="48" t="n">
        <f aca="false">J21*$X21</f>
        <v>0</v>
      </c>
      <c r="AH21" s="48" t="n">
        <f aca="false">K21*$X21</f>
        <v>0</v>
      </c>
      <c r="AI21" s="48" t="n">
        <f aca="false">L21*$X21</f>
        <v>0</v>
      </c>
      <c r="AJ21" s="48" t="n">
        <f aca="false">M21*$X21</f>
        <v>0</v>
      </c>
      <c r="AK21" s="48" t="n">
        <f aca="false">N21*$X21</f>
        <v>0</v>
      </c>
      <c r="AL21" s="48" t="n">
        <f aca="false">O21*$X21</f>
        <v>0</v>
      </c>
      <c r="AM21" s="48" t="n">
        <f aca="false">P21*$X21</f>
        <v>0</v>
      </c>
      <c r="AN21" s="48" t="n">
        <f aca="false">Q21*$X21</f>
        <v>0</v>
      </c>
      <c r="AO21" s="48" t="n">
        <f aca="false">R21*$X21</f>
        <v>0</v>
      </c>
      <c r="AP21" s="48" t="n">
        <f aca="false">S21*$X21</f>
        <v>0</v>
      </c>
      <c r="AQ21" s="48" t="n">
        <f aca="false">T21*$X21</f>
        <v>0</v>
      </c>
      <c r="AR21" s="48" t="n">
        <f aca="false">U21*$X21</f>
        <v>0</v>
      </c>
      <c r="AS21" s="48" t="n">
        <f aca="false">V21*$X21</f>
        <v>0</v>
      </c>
      <c r="AT21" s="48" t="n">
        <f aca="false">W21*$X21</f>
        <v>0</v>
      </c>
      <c r="AU21" s="48" t="n">
        <f aca="false">X21*$X21</f>
        <v>3.6864</v>
      </c>
      <c r="AV21" s="48" t="n">
        <f aca="false">Y21*$X21</f>
        <v>0</v>
      </c>
      <c r="AW21" s="48" t="n">
        <f aca="false">Z21*$X21</f>
        <v>0</v>
      </c>
      <c r="AX21" s="48" t="n">
        <f aca="false">AA21*$X21</f>
        <v>0</v>
      </c>
      <c r="AY21" s="48" t="n">
        <f aca="false">AB21*$X21</f>
        <v>0</v>
      </c>
      <c r="AZ21" s="48" t="n">
        <f aca="false">AC21*$X21</f>
        <v>0</v>
      </c>
      <c r="BA21" s="1"/>
      <c r="BB21" s="1"/>
      <c r="BC21" s="1"/>
      <c r="BD21" s="1"/>
      <c r="BE21" s="1"/>
      <c r="BF21" s="1"/>
    </row>
    <row r="22" s="48" customFormat="true" ht="15" hidden="false" customHeight="true" outlineLevel="0" collapsed="false">
      <c r="A22" s="42" t="s">
        <v>91</v>
      </c>
      <c r="B22" s="42" t="n">
        <v>78</v>
      </c>
      <c r="C22" s="43"/>
      <c r="D22" s="44"/>
      <c r="E22" s="44"/>
      <c r="F22" s="44"/>
      <c r="G22" s="44" t="n">
        <v>12</v>
      </c>
      <c r="H22" s="44" t="n">
        <f aca="false">B22+D22+E22+F22+G22+C22</f>
        <v>90</v>
      </c>
      <c r="I22" s="45"/>
      <c r="J22" s="49"/>
      <c r="K22" s="49" t="n">
        <v>218</v>
      </c>
      <c r="L22" s="49"/>
      <c r="M22" s="49"/>
      <c r="N22" s="49"/>
      <c r="O22" s="49"/>
      <c r="P22" s="49"/>
      <c r="Q22" s="49"/>
      <c r="R22" s="49"/>
      <c r="S22" s="49" t="n">
        <v>21</v>
      </c>
      <c r="T22" s="49"/>
      <c r="U22" s="49"/>
      <c r="V22" s="47" t="n">
        <f aca="false">J22+K22+L22+M22+N22+O22+P22+Q22+R22+S22+T22+U22</f>
        <v>239</v>
      </c>
      <c r="W22" s="47" t="n">
        <f aca="false">H22-V22</f>
        <v>-149</v>
      </c>
      <c r="X22" s="48" t="n">
        <v>1.92</v>
      </c>
      <c r="Y22" s="48" t="n">
        <f aca="false">B22*$X22</f>
        <v>149.76</v>
      </c>
      <c r="Z22" s="48" t="n">
        <f aca="false">C22*$X22</f>
        <v>0</v>
      </c>
      <c r="AA22" s="48" t="n">
        <f aca="false">D22*$X22</f>
        <v>0</v>
      </c>
      <c r="AB22" s="48" t="n">
        <f aca="false">E22*$X22</f>
        <v>0</v>
      </c>
      <c r="AC22" s="48" t="n">
        <f aca="false">F22*$X22</f>
        <v>0</v>
      </c>
      <c r="AD22" s="48" t="n">
        <f aca="false">G22*$X22</f>
        <v>23.04</v>
      </c>
      <c r="AE22" s="48" t="n">
        <f aca="false">H22*$X22</f>
        <v>172.8</v>
      </c>
      <c r="AF22" s="48" t="n">
        <f aca="false">I22*$X22</f>
        <v>0</v>
      </c>
      <c r="AG22" s="48" t="n">
        <f aca="false">J22*$X22</f>
        <v>0</v>
      </c>
      <c r="AH22" s="48" t="n">
        <f aca="false">K22*$X22</f>
        <v>418.56</v>
      </c>
      <c r="AI22" s="48" t="n">
        <f aca="false">L22*$X22</f>
        <v>0</v>
      </c>
      <c r="AJ22" s="48" t="n">
        <f aca="false">M22*$X22</f>
        <v>0</v>
      </c>
      <c r="AK22" s="48" t="n">
        <f aca="false">N22*$X22</f>
        <v>0</v>
      </c>
      <c r="AL22" s="48" t="n">
        <f aca="false">O22*$X22</f>
        <v>0</v>
      </c>
      <c r="AM22" s="48" t="n">
        <f aca="false">P22*$X22</f>
        <v>0</v>
      </c>
      <c r="AN22" s="48" t="n">
        <f aca="false">Q22*$X22</f>
        <v>0</v>
      </c>
      <c r="AO22" s="48" t="n">
        <f aca="false">R22*$X22</f>
        <v>0</v>
      </c>
      <c r="AP22" s="48" t="n">
        <f aca="false">S22*$X22</f>
        <v>40.32</v>
      </c>
      <c r="AQ22" s="48" t="n">
        <f aca="false">T22*$X22</f>
        <v>0</v>
      </c>
      <c r="AR22" s="48" t="n">
        <f aca="false">U22*$X22</f>
        <v>0</v>
      </c>
      <c r="AS22" s="48" t="n">
        <f aca="false">V22*$X22</f>
        <v>458.88</v>
      </c>
      <c r="AT22" s="48" t="n">
        <f aca="false">W22*$X22</f>
        <v>-286.08</v>
      </c>
      <c r="AU22" s="48" t="n">
        <f aca="false">X22*$X22</f>
        <v>3.6864</v>
      </c>
      <c r="AV22" s="48" t="n">
        <f aca="false">Y22*$X22</f>
        <v>287.5392</v>
      </c>
      <c r="AW22" s="48" t="n">
        <f aca="false">Z22*$X22</f>
        <v>0</v>
      </c>
      <c r="AX22" s="48" t="n">
        <f aca="false">AA22*$X22</f>
        <v>0</v>
      </c>
      <c r="AY22" s="48" t="n">
        <f aca="false">AB22*$X22</f>
        <v>0</v>
      </c>
      <c r="AZ22" s="48" t="n">
        <f aca="false">AC22*$X22</f>
        <v>0</v>
      </c>
      <c r="BA22" s="1"/>
      <c r="BB22" s="1"/>
      <c r="BC22" s="1"/>
      <c r="BD22" s="1"/>
      <c r="BE22" s="1"/>
      <c r="BF22" s="1"/>
    </row>
    <row r="23" s="48" customFormat="true" ht="15" hidden="false" customHeight="true" outlineLevel="0" collapsed="false">
      <c r="A23" s="42" t="s">
        <v>92</v>
      </c>
      <c r="B23" s="42" t="n">
        <v>1</v>
      </c>
      <c r="C23" s="43"/>
      <c r="D23" s="44"/>
      <c r="E23" s="44"/>
      <c r="F23" s="44"/>
      <c r="G23" s="44" t="n">
        <v>18</v>
      </c>
      <c r="H23" s="44" t="n">
        <f aca="false">B23+D23+E23+F23+G23+C23</f>
        <v>19</v>
      </c>
      <c r="I23" s="45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7" t="n">
        <f aca="false">J23+K23+L23+M23+N23+O23+P23+Q23+R23+S23+T23+U23</f>
        <v>0</v>
      </c>
      <c r="W23" s="47" t="n">
        <f aca="false">H23-V23</f>
        <v>19</v>
      </c>
      <c r="X23" s="48" t="n">
        <v>1.92</v>
      </c>
      <c r="Y23" s="48" t="n">
        <f aca="false">B23*$X23</f>
        <v>1.92</v>
      </c>
      <c r="Z23" s="48" t="n">
        <f aca="false">C23*$X23</f>
        <v>0</v>
      </c>
      <c r="AA23" s="48" t="n">
        <f aca="false">D23*$X23</f>
        <v>0</v>
      </c>
      <c r="AB23" s="48" t="n">
        <f aca="false">E23*$X23</f>
        <v>0</v>
      </c>
      <c r="AC23" s="48" t="n">
        <f aca="false">F23*$X23</f>
        <v>0</v>
      </c>
      <c r="AD23" s="48" t="n">
        <f aca="false">G23*$X23</f>
        <v>34.56</v>
      </c>
      <c r="AE23" s="48" t="n">
        <f aca="false">H23*$X23</f>
        <v>36.48</v>
      </c>
      <c r="AF23" s="48" t="n">
        <f aca="false">I23*$X23</f>
        <v>0</v>
      </c>
      <c r="AG23" s="48" t="n">
        <f aca="false">J23*$X23</f>
        <v>0</v>
      </c>
      <c r="AH23" s="48" t="n">
        <f aca="false">K23*$X23</f>
        <v>0</v>
      </c>
      <c r="AI23" s="48" t="n">
        <f aca="false">L23*$X23</f>
        <v>0</v>
      </c>
      <c r="AJ23" s="48" t="n">
        <f aca="false">M23*$X23</f>
        <v>0</v>
      </c>
      <c r="AK23" s="48" t="n">
        <f aca="false">N23*$X23</f>
        <v>0</v>
      </c>
      <c r="AL23" s="48" t="n">
        <f aca="false">O23*$X23</f>
        <v>0</v>
      </c>
      <c r="AM23" s="48" t="n">
        <f aca="false">P23*$X23</f>
        <v>0</v>
      </c>
      <c r="AN23" s="48" t="n">
        <f aca="false">Q23*$X23</f>
        <v>0</v>
      </c>
      <c r="AO23" s="48" t="n">
        <f aca="false">R23*$X23</f>
        <v>0</v>
      </c>
      <c r="AP23" s="48" t="n">
        <f aca="false">S23*$X23</f>
        <v>0</v>
      </c>
      <c r="AQ23" s="48" t="n">
        <f aca="false">T23*$X23</f>
        <v>0</v>
      </c>
      <c r="AR23" s="48" t="n">
        <f aca="false">U23*$X23</f>
        <v>0</v>
      </c>
      <c r="AS23" s="48" t="n">
        <f aca="false">V23*$X23</f>
        <v>0</v>
      </c>
      <c r="AT23" s="48" t="n">
        <f aca="false">W23*$X23</f>
        <v>36.48</v>
      </c>
      <c r="AU23" s="48" t="n">
        <f aca="false">X23*$X23</f>
        <v>3.6864</v>
      </c>
      <c r="AV23" s="48" t="n">
        <f aca="false">Y23*$X23</f>
        <v>3.6864</v>
      </c>
      <c r="AW23" s="48" t="n">
        <f aca="false">Z23*$X23</f>
        <v>0</v>
      </c>
      <c r="AX23" s="48" t="n">
        <f aca="false">AA23*$X23</f>
        <v>0</v>
      </c>
      <c r="AY23" s="48" t="n">
        <f aca="false">AB23*$X23</f>
        <v>0</v>
      </c>
      <c r="AZ23" s="48" t="n">
        <f aca="false">AC23*$X23</f>
        <v>0</v>
      </c>
      <c r="BA23" s="1"/>
      <c r="BB23" s="1"/>
      <c r="BC23" s="1"/>
      <c r="BD23" s="1"/>
      <c r="BE23" s="1"/>
      <c r="BF23" s="1"/>
    </row>
    <row r="24" s="48" customFormat="true" ht="15" hidden="false" customHeight="true" outlineLevel="0" collapsed="false">
      <c r="A24" s="42" t="s">
        <v>93</v>
      </c>
      <c r="B24" s="42" t="n">
        <v>1</v>
      </c>
      <c r="C24" s="43" t="n">
        <v>1</v>
      </c>
      <c r="D24" s="44" t="n">
        <v>142</v>
      </c>
      <c r="E24" s="44" t="n">
        <v>184</v>
      </c>
      <c r="F24" s="44"/>
      <c r="G24" s="44"/>
      <c r="H24" s="44" t="n">
        <f aca="false">B24+D24+E24+F24+G24+C24</f>
        <v>328</v>
      </c>
      <c r="I24" s="45"/>
      <c r="J24" s="49" t="n">
        <v>19</v>
      </c>
      <c r="K24" s="49" t="n">
        <v>184</v>
      </c>
      <c r="L24" s="49" t="n">
        <v>18</v>
      </c>
      <c r="M24" s="49"/>
      <c r="N24" s="49"/>
      <c r="O24" s="49"/>
      <c r="P24" s="49"/>
      <c r="Q24" s="49"/>
      <c r="R24" s="49"/>
      <c r="S24" s="49"/>
      <c r="T24" s="49"/>
      <c r="U24" s="49"/>
      <c r="V24" s="47" t="n">
        <f aca="false">J24+K24+L24+M24+N24+O24+P24+Q24+R24+S24+T24+U24</f>
        <v>221</v>
      </c>
      <c r="W24" s="47" t="n">
        <f aca="false">H24-V24</f>
        <v>107</v>
      </c>
      <c r="X24" s="48" t="n">
        <v>2.8</v>
      </c>
      <c r="Y24" s="48" t="n">
        <f aca="false">B24*$X24</f>
        <v>2.8</v>
      </c>
      <c r="Z24" s="48" t="n">
        <f aca="false">C24*$X24</f>
        <v>2.8</v>
      </c>
      <c r="AA24" s="48" t="n">
        <f aca="false">D24*$X24</f>
        <v>397.6</v>
      </c>
      <c r="AB24" s="48" t="n">
        <f aca="false">E24*$X24</f>
        <v>515.2</v>
      </c>
      <c r="AC24" s="48" t="n">
        <f aca="false">F24*$X24</f>
        <v>0</v>
      </c>
      <c r="AD24" s="48" t="n">
        <f aca="false">G24*$X24</f>
        <v>0</v>
      </c>
      <c r="AE24" s="48" t="n">
        <f aca="false">H24*$X24</f>
        <v>918.4</v>
      </c>
      <c r="AF24" s="48" t="n">
        <f aca="false">I24*$X24</f>
        <v>0</v>
      </c>
      <c r="AG24" s="48" t="n">
        <f aca="false">J24*$X24</f>
        <v>53.2</v>
      </c>
      <c r="AH24" s="48" t="n">
        <f aca="false">K24*$X24</f>
        <v>515.2</v>
      </c>
      <c r="AI24" s="48" t="n">
        <f aca="false">L24*$X24</f>
        <v>50.4</v>
      </c>
      <c r="AJ24" s="48" t="n">
        <f aca="false">M24*$X24</f>
        <v>0</v>
      </c>
      <c r="AK24" s="48" t="n">
        <f aca="false">N24*$X24</f>
        <v>0</v>
      </c>
      <c r="AL24" s="48" t="n">
        <f aca="false">O24*$X24</f>
        <v>0</v>
      </c>
      <c r="AM24" s="48" t="n">
        <f aca="false">P24*$X24</f>
        <v>0</v>
      </c>
      <c r="AN24" s="48" t="n">
        <f aca="false">Q24*$X24</f>
        <v>0</v>
      </c>
      <c r="AO24" s="48" t="n">
        <f aca="false">R24*$X24</f>
        <v>0</v>
      </c>
      <c r="AP24" s="48" t="n">
        <f aca="false">S24*$X24</f>
        <v>0</v>
      </c>
      <c r="AQ24" s="48" t="n">
        <f aca="false">T24*$X24</f>
        <v>0</v>
      </c>
      <c r="AR24" s="48" t="n">
        <f aca="false">U24*$X24</f>
        <v>0</v>
      </c>
      <c r="AS24" s="48" t="n">
        <f aca="false">V24*$X24</f>
        <v>618.8</v>
      </c>
      <c r="AT24" s="48" t="n">
        <f aca="false">W24*$X24</f>
        <v>299.6</v>
      </c>
      <c r="AU24" s="48" t="n">
        <f aca="false">X24*$X24</f>
        <v>7.84</v>
      </c>
      <c r="AV24" s="48" t="n">
        <f aca="false">Y24*$X24</f>
        <v>7.84</v>
      </c>
      <c r="AW24" s="48" t="n">
        <f aca="false">Z24*$X24</f>
        <v>7.84</v>
      </c>
      <c r="AX24" s="48" t="n">
        <f aca="false">AA24*$X24</f>
        <v>1113.28</v>
      </c>
      <c r="AY24" s="48" t="n">
        <f aca="false">AB24*$X24</f>
        <v>1442.56</v>
      </c>
      <c r="AZ24" s="48" t="n">
        <f aca="false">AC24*$X24</f>
        <v>0</v>
      </c>
      <c r="BA24" s="1"/>
      <c r="BB24" s="1"/>
      <c r="BC24" s="1"/>
      <c r="BD24" s="1"/>
      <c r="BE24" s="1"/>
      <c r="BF24" s="1"/>
    </row>
    <row r="25" s="48" customFormat="true" ht="15" hidden="false" customHeight="true" outlineLevel="0" collapsed="false">
      <c r="A25" s="42" t="s">
        <v>94</v>
      </c>
      <c r="B25" s="42" t="n">
        <v>56</v>
      </c>
      <c r="C25" s="43"/>
      <c r="D25" s="44"/>
      <c r="E25" s="44"/>
      <c r="F25" s="44"/>
      <c r="G25" s="44"/>
      <c r="H25" s="44" t="n">
        <f aca="false">B25+D25+E25+F25+G25+C25</f>
        <v>56</v>
      </c>
      <c r="I25" s="45"/>
      <c r="J25" s="49"/>
      <c r="K25" s="49"/>
      <c r="L25" s="49"/>
      <c r="M25" s="49"/>
      <c r="N25" s="49" t="n">
        <v>56</v>
      </c>
      <c r="O25" s="49" t="n">
        <v>20</v>
      </c>
      <c r="P25" s="49"/>
      <c r="Q25" s="49"/>
      <c r="R25" s="49"/>
      <c r="S25" s="49"/>
      <c r="T25" s="49"/>
      <c r="U25" s="49"/>
      <c r="V25" s="47" t="n">
        <f aca="false">J25+K25+L25+M25+N25+O25+P25+Q25+R25+S25+T25+U25</f>
        <v>76</v>
      </c>
      <c r="W25" s="47" t="n">
        <f aca="false">H25-V25</f>
        <v>-20</v>
      </c>
      <c r="X25" s="48" t="n">
        <v>3.2</v>
      </c>
      <c r="Y25" s="48" t="n">
        <f aca="false">B25*$X25</f>
        <v>179.2</v>
      </c>
      <c r="Z25" s="48" t="n">
        <f aca="false">C25*$X25</f>
        <v>0</v>
      </c>
      <c r="AA25" s="48" t="n">
        <f aca="false">D25*$X25</f>
        <v>0</v>
      </c>
      <c r="AB25" s="48" t="n">
        <f aca="false">E25*$X25</f>
        <v>0</v>
      </c>
      <c r="AC25" s="48" t="n">
        <f aca="false">F25*$X25</f>
        <v>0</v>
      </c>
      <c r="AD25" s="48" t="n">
        <f aca="false">G25*$X25</f>
        <v>0</v>
      </c>
      <c r="AE25" s="48" t="n">
        <f aca="false">H25*$X25</f>
        <v>179.2</v>
      </c>
      <c r="AF25" s="48" t="n">
        <f aca="false">I25*$X25</f>
        <v>0</v>
      </c>
      <c r="AG25" s="48" t="n">
        <f aca="false">J25*$X25</f>
        <v>0</v>
      </c>
      <c r="AH25" s="48" t="n">
        <f aca="false">K25*$X25</f>
        <v>0</v>
      </c>
      <c r="AI25" s="48" t="n">
        <f aca="false">L25*$X25</f>
        <v>0</v>
      </c>
      <c r="AJ25" s="48" t="n">
        <f aca="false">M25*$X25</f>
        <v>0</v>
      </c>
      <c r="AK25" s="48" t="n">
        <f aca="false">N25*$X25</f>
        <v>179.2</v>
      </c>
      <c r="AL25" s="48" t="n">
        <f aca="false">O25*$X25</f>
        <v>64</v>
      </c>
      <c r="AM25" s="48" t="n">
        <f aca="false">P25*$X25</f>
        <v>0</v>
      </c>
      <c r="AN25" s="48" t="n">
        <f aca="false">Q25*$X25</f>
        <v>0</v>
      </c>
      <c r="AO25" s="48" t="n">
        <f aca="false">R25*$X25</f>
        <v>0</v>
      </c>
      <c r="AP25" s="48" t="n">
        <f aca="false">S25*$X25</f>
        <v>0</v>
      </c>
      <c r="AQ25" s="48" t="n">
        <f aca="false">T25*$X25</f>
        <v>0</v>
      </c>
      <c r="AR25" s="48" t="n">
        <f aca="false">U25*$X25</f>
        <v>0</v>
      </c>
      <c r="AS25" s="48" t="n">
        <f aca="false">V25*$X25</f>
        <v>243.2</v>
      </c>
      <c r="AT25" s="48" t="n">
        <f aca="false">W25*$X25</f>
        <v>-64</v>
      </c>
      <c r="AU25" s="48" t="n">
        <f aca="false">X25*$X25</f>
        <v>10.24</v>
      </c>
      <c r="AV25" s="48" t="n">
        <f aca="false">Y25*$X25</f>
        <v>573.44</v>
      </c>
      <c r="AW25" s="48" t="n">
        <f aca="false">Z25*$X25</f>
        <v>0</v>
      </c>
      <c r="AX25" s="48" t="n">
        <f aca="false">AA25*$X25</f>
        <v>0</v>
      </c>
      <c r="AY25" s="48" t="n">
        <f aca="false">AB25*$X25</f>
        <v>0</v>
      </c>
      <c r="AZ25" s="48" t="n">
        <f aca="false">AC25*$X25</f>
        <v>0</v>
      </c>
      <c r="BA25" s="1"/>
      <c r="BB25" s="1"/>
      <c r="BC25" s="1"/>
      <c r="BD25" s="1"/>
      <c r="BE25" s="1"/>
      <c r="BF25" s="1"/>
    </row>
    <row r="26" s="48" customFormat="true" ht="15" hidden="false" customHeight="true" outlineLevel="0" collapsed="false">
      <c r="A26" s="42" t="s">
        <v>95</v>
      </c>
      <c r="B26" s="42" t="n">
        <v>241</v>
      </c>
      <c r="C26" s="43" t="n">
        <v>3</v>
      </c>
      <c r="D26" s="44"/>
      <c r="E26" s="44" t="n">
        <v>252</v>
      </c>
      <c r="F26" s="44" t="n">
        <v>36</v>
      </c>
      <c r="G26" s="44" t="n">
        <v>19</v>
      </c>
      <c r="H26" s="44" t="n">
        <f aca="false">B26+D26+E26+F26+G26+C26</f>
        <v>551</v>
      </c>
      <c r="I26" s="45"/>
      <c r="J26" s="49" t="n">
        <v>10</v>
      </c>
      <c r="K26" s="49" t="n">
        <v>91</v>
      </c>
      <c r="L26" s="49"/>
      <c r="M26" s="49"/>
      <c r="N26" s="49" t="n">
        <v>216</v>
      </c>
      <c r="O26" s="49" t="n">
        <v>0</v>
      </c>
      <c r="P26" s="49"/>
      <c r="Q26" s="49" t="n">
        <v>76</v>
      </c>
      <c r="R26" s="49" t="n">
        <v>64</v>
      </c>
      <c r="S26" s="49" t="n">
        <v>57</v>
      </c>
      <c r="T26" s="49"/>
      <c r="U26" s="49" t="n">
        <v>82</v>
      </c>
      <c r="V26" s="47" t="n">
        <f aca="false">J26+K26+L26+M26+N26+O26+P26+Q26+R26+S26+T26+U26</f>
        <v>596</v>
      </c>
      <c r="W26" s="47" t="n">
        <f aca="false">H26-V26</f>
        <v>-45</v>
      </c>
      <c r="X26" s="48" t="n">
        <v>3.4</v>
      </c>
      <c r="Y26" s="48" t="n">
        <f aca="false">B26*$X26</f>
        <v>819.4</v>
      </c>
      <c r="Z26" s="48" t="n">
        <f aca="false">C26*$X26</f>
        <v>10.2</v>
      </c>
      <c r="AA26" s="48" t="n">
        <f aca="false">D26*$X26</f>
        <v>0</v>
      </c>
      <c r="AB26" s="48" t="n">
        <f aca="false">E26*$X26</f>
        <v>856.8</v>
      </c>
      <c r="AC26" s="48" t="n">
        <f aca="false">F26*$X26</f>
        <v>122.4</v>
      </c>
      <c r="AD26" s="48" t="n">
        <f aca="false">G26*$X26</f>
        <v>64.6</v>
      </c>
      <c r="AE26" s="48" t="n">
        <f aca="false">H26*$X26</f>
        <v>1873.4</v>
      </c>
      <c r="AF26" s="48" t="n">
        <f aca="false">I26*$X26</f>
        <v>0</v>
      </c>
      <c r="AG26" s="48" t="n">
        <f aca="false">J26*$X26</f>
        <v>34</v>
      </c>
      <c r="AH26" s="48" t="n">
        <f aca="false">K26*$X26</f>
        <v>309.4</v>
      </c>
      <c r="AI26" s="48" t="n">
        <f aca="false">L26*$X26</f>
        <v>0</v>
      </c>
      <c r="AJ26" s="48" t="n">
        <f aca="false">M26*$X26</f>
        <v>0</v>
      </c>
      <c r="AK26" s="48" t="n">
        <f aca="false">N26*$X26</f>
        <v>734.4</v>
      </c>
      <c r="AL26" s="48" t="n">
        <f aca="false">O26*$X26</f>
        <v>0</v>
      </c>
      <c r="AM26" s="48" t="n">
        <f aca="false">P26*$X26</f>
        <v>0</v>
      </c>
      <c r="AN26" s="48" t="n">
        <f aca="false">Q26*$X26</f>
        <v>258.4</v>
      </c>
      <c r="AO26" s="48" t="n">
        <f aca="false">R26*$X26</f>
        <v>217.6</v>
      </c>
      <c r="AP26" s="48" t="n">
        <f aca="false">S26*$X26</f>
        <v>193.8</v>
      </c>
      <c r="AQ26" s="48" t="n">
        <f aca="false">T26*$X26</f>
        <v>0</v>
      </c>
      <c r="AR26" s="48" t="n">
        <f aca="false">U26*$X26</f>
        <v>278.8</v>
      </c>
      <c r="AS26" s="48" t="n">
        <f aca="false">V26*$X26</f>
        <v>2026.4</v>
      </c>
      <c r="AT26" s="48" t="n">
        <f aca="false">W26*$X26</f>
        <v>-153</v>
      </c>
      <c r="AU26" s="48" t="n">
        <f aca="false">X26*$X26</f>
        <v>11.56</v>
      </c>
      <c r="AV26" s="48" t="n">
        <f aca="false">Y26*$X26</f>
        <v>2785.96</v>
      </c>
      <c r="AW26" s="48" t="n">
        <f aca="false">Z26*$X26</f>
        <v>34.68</v>
      </c>
      <c r="AX26" s="48" t="n">
        <f aca="false">AA26*$X26</f>
        <v>0</v>
      </c>
      <c r="AY26" s="48" t="n">
        <f aca="false">AB26*$X26</f>
        <v>2913.12</v>
      </c>
      <c r="AZ26" s="48" t="n">
        <f aca="false">AC26*$X26</f>
        <v>416.16</v>
      </c>
      <c r="BA26" s="1"/>
      <c r="BB26" s="1"/>
      <c r="BC26" s="1"/>
      <c r="BD26" s="1"/>
      <c r="BE26" s="1"/>
      <c r="BF26" s="1"/>
    </row>
    <row r="27" s="48" customFormat="true" ht="15" hidden="false" customHeight="true" outlineLevel="0" collapsed="false">
      <c r="A27" s="42" t="s">
        <v>96</v>
      </c>
      <c r="B27" s="42" t="n">
        <v>59</v>
      </c>
      <c r="C27" s="43"/>
      <c r="D27" s="44"/>
      <c r="E27" s="44"/>
      <c r="F27" s="44"/>
      <c r="G27" s="44" t="n">
        <v>252</v>
      </c>
      <c r="H27" s="44" t="n">
        <f aca="false">B27+D27+E27+F27+G27+C27</f>
        <v>311</v>
      </c>
      <c r="I27" s="45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7" t="n">
        <f aca="false">J27+K27+L27+M27+N27+O27+P27+Q27+R27+S27+T27+U27</f>
        <v>0</v>
      </c>
      <c r="W27" s="47" t="n">
        <f aca="false">H27-V27</f>
        <v>311</v>
      </c>
      <c r="X27" s="48" t="n">
        <v>1.17</v>
      </c>
      <c r="Y27" s="48" t="n">
        <f aca="false">B27*$X27</f>
        <v>69.03</v>
      </c>
      <c r="Z27" s="48" t="n">
        <f aca="false">C27*$X27</f>
        <v>0</v>
      </c>
      <c r="AA27" s="48" t="n">
        <f aca="false">D27*$X27</f>
        <v>0</v>
      </c>
      <c r="AB27" s="48" t="n">
        <f aca="false">E27*$X27</f>
        <v>0</v>
      </c>
      <c r="AC27" s="48" t="n">
        <f aca="false">F27*$X27</f>
        <v>0</v>
      </c>
      <c r="AD27" s="48" t="n">
        <f aca="false">G27*$X27</f>
        <v>294.84</v>
      </c>
      <c r="AE27" s="48" t="n">
        <f aca="false">H27*$X27</f>
        <v>363.87</v>
      </c>
      <c r="AF27" s="48" t="n">
        <f aca="false">I27*$X27</f>
        <v>0</v>
      </c>
      <c r="AG27" s="48" t="n">
        <f aca="false">J27*$X27</f>
        <v>0</v>
      </c>
      <c r="AH27" s="48" t="n">
        <f aca="false">K27*$X27</f>
        <v>0</v>
      </c>
      <c r="AI27" s="48" t="n">
        <f aca="false">L27*$X27</f>
        <v>0</v>
      </c>
      <c r="AJ27" s="48" t="n">
        <f aca="false">M27*$X27</f>
        <v>0</v>
      </c>
      <c r="AK27" s="48" t="n">
        <f aca="false">N27*$X27</f>
        <v>0</v>
      </c>
      <c r="AL27" s="48" t="n">
        <f aca="false">O27*$X27</f>
        <v>0</v>
      </c>
      <c r="AM27" s="48" t="n">
        <f aca="false">P27*$X27</f>
        <v>0</v>
      </c>
      <c r="AN27" s="48" t="n">
        <f aca="false">Q27*$X27</f>
        <v>0</v>
      </c>
      <c r="AO27" s="48" t="n">
        <f aca="false">R27*$X27</f>
        <v>0</v>
      </c>
      <c r="AP27" s="48" t="n">
        <f aca="false">S27*$X27</f>
        <v>0</v>
      </c>
      <c r="AQ27" s="48" t="n">
        <f aca="false">T27*$X27</f>
        <v>0</v>
      </c>
      <c r="AR27" s="48" t="n">
        <f aca="false">U27*$X27</f>
        <v>0</v>
      </c>
      <c r="AS27" s="48" t="n">
        <f aca="false">V27*$X27</f>
        <v>0</v>
      </c>
      <c r="AT27" s="48" t="n">
        <f aca="false">W27*$X27</f>
        <v>363.87</v>
      </c>
      <c r="AU27" s="48" t="n">
        <f aca="false">X27*$X27</f>
        <v>1.3689</v>
      </c>
      <c r="AV27" s="48" t="n">
        <f aca="false">Y27*$X27</f>
        <v>80.7651</v>
      </c>
      <c r="AW27" s="48" t="n">
        <f aca="false">Z27*$X27</f>
        <v>0</v>
      </c>
      <c r="AX27" s="48" t="n">
        <f aca="false">AA27*$X27</f>
        <v>0</v>
      </c>
      <c r="AY27" s="48" t="n">
        <f aca="false">AB27*$X27</f>
        <v>0</v>
      </c>
      <c r="AZ27" s="48" t="n">
        <f aca="false">AC27*$X27</f>
        <v>0</v>
      </c>
      <c r="BA27" s="1"/>
      <c r="BB27" s="1"/>
      <c r="BC27" s="1"/>
      <c r="BD27" s="1"/>
      <c r="BE27" s="1"/>
      <c r="BF27" s="1"/>
    </row>
    <row r="28" s="48" customFormat="true" ht="15" hidden="false" customHeight="true" outlineLevel="0" collapsed="false">
      <c r="A28" s="42" t="s">
        <v>97</v>
      </c>
      <c r="B28" s="42" t="n">
        <v>0</v>
      </c>
      <c r="C28" s="43"/>
      <c r="D28" s="44"/>
      <c r="E28" s="44" t="n">
        <v>50</v>
      </c>
      <c r="F28" s="44" t="n">
        <v>250</v>
      </c>
      <c r="G28" s="44" t="n">
        <v>204</v>
      </c>
      <c r="H28" s="44" t="n">
        <f aca="false">B28+D28+E28+F28+G28+C28</f>
        <v>504</v>
      </c>
      <c r="I28" s="45"/>
      <c r="J28" s="49" t="n">
        <v>10</v>
      </c>
      <c r="K28" s="49"/>
      <c r="L28" s="49"/>
      <c r="M28" s="49"/>
      <c r="N28" s="49" t="n">
        <v>156</v>
      </c>
      <c r="O28" s="49" t="n">
        <v>330</v>
      </c>
      <c r="P28" s="49"/>
      <c r="Q28" s="49"/>
      <c r="R28" s="49" t="n">
        <v>24</v>
      </c>
      <c r="S28" s="49"/>
      <c r="T28" s="49"/>
      <c r="U28" s="49" t="n">
        <v>28</v>
      </c>
      <c r="V28" s="47" t="n">
        <f aca="false">J28+K28+L28+M28+N28+O28+P28+Q28+R28+S28+T28+U28</f>
        <v>548</v>
      </c>
      <c r="W28" s="47" t="n">
        <f aca="false">H28-V28</f>
        <v>-44</v>
      </c>
      <c r="X28" s="48" t="n">
        <v>1.17</v>
      </c>
      <c r="Y28" s="48" t="n">
        <f aca="false">B28*$X28</f>
        <v>0</v>
      </c>
      <c r="Z28" s="48" t="n">
        <f aca="false">C28*$X28</f>
        <v>0</v>
      </c>
      <c r="AA28" s="48" t="n">
        <f aca="false">D28*$X28</f>
        <v>0</v>
      </c>
      <c r="AB28" s="48" t="n">
        <f aca="false">E28*$X28</f>
        <v>58.5</v>
      </c>
      <c r="AC28" s="48" t="n">
        <f aca="false">F28*$X28</f>
        <v>292.5</v>
      </c>
      <c r="AD28" s="48" t="n">
        <f aca="false">G28*$X28</f>
        <v>238.68</v>
      </c>
      <c r="AE28" s="48" t="n">
        <f aca="false">H28*$X28</f>
        <v>589.68</v>
      </c>
      <c r="AF28" s="48" t="n">
        <f aca="false">I28*$X28</f>
        <v>0</v>
      </c>
      <c r="AG28" s="48" t="n">
        <f aca="false">J28*$X28</f>
        <v>11.7</v>
      </c>
      <c r="AH28" s="48" t="n">
        <f aca="false">K28*$X28</f>
        <v>0</v>
      </c>
      <c r="AI28" s="48" t="n">
        <f aca="false">L28*$X28</f>
        <v>0</v>
      </c>
      <c r="AJ28" s="48" t="n">
        <f aca="false">M28*$X28</f>
        <v>0</v>
      </c>
      <c r="AK28" s="48" t="n">
        <f aca="false">N28*$X28</f>
        <v>182.52</v>
      </c>
      <c r="AL28" s="48" t="n">
        <f aca="false">O28*$X28</f>
        <v>386.1</v>
      </c>
      <c r="AM28" s="48" t="n">
        <f aca="false">P28*$X28</f>
        <v>0</v>
      </c>
      <c r="AN28" s="48" t="n">
        <f aca="false">Q28*$X28</f>
        <v>0</v>
      </c>
      <c r="AO28" s="48" t="n">
        <f aca="false">R28*$X28</f>
        <v>28.08</v>
      </c>
      <c r="AP28" s="48" t="n">
        <f aca="false">S28*$X28</f>
        <v>0</v>
      </c>
      <c r="AQ28" s="48" t="n">
        <f aca="false">T28*$X28</f>
        <v>0</v>
      </c>
      <c r="AR28" s="48" t="n">
        <f aca="false">U28*$X28</f>
        <v>32.76</v>
      </c>
      <c r="AS28" s="48" t="n">
        <f aca="false">V28*$X28</f>
        <v>641.16</v>
      </c>
      <c r="AT28" s="48" t="n">
        <f aca="false">W28*$X28</f>
        <v>-51.48</v>
      </c>
      <c r="AU28" s="48" t="n">
        <f aca="false">X28*$X28</f>
        <v>1.3689</v>
      </c>
      <c r="AV28" s="48" t="n">
        <f aca="false">Y28*$X28</f>
        <v>0</v>
      </c>
      <c r="AW28" s="48" t="n">
        <f aca="false">Z28*$X28</f>
        <v>0</v>
      </c>
      <c r="AX28" s="48" t="n">
        <f aca="false">AA28*$X28</f>
        <v>0</v>
      </c>
      <c r="AY28" s="48" t="n">
        <f aca="false">AB28*$X28</f>
        <v>68.445</v>
      </c>
      <c r="AZ28" s="48" t="n">
        <f aca="false">AC28*$X28</f>
        <v>342.225</v>
      </c>
      <c r="BA28" s="1"/>
      <c r="BB28" s="1"/>
      <c r="BC28" s="1"/>
      <c r="BD28" s="1"/>
      <c r="BE28" s="1"/>
      <c r="BF28" s="1"/>
    </row>
    <row r="29" s="48" customFormat="true" ht="15" hidden="false" customHeight="true" outlineLevel="0" collapsed="false">
      <c r="A29" s="42" t="s">
        <v>98</v>
      </c>
      <c r="B29" s="42" t="n">
        <v>0</v>
      </c>
      <c r="C29" s="43"/>
      <c r="D29" s="44"/>
      <c r="E29" s="44" t="n">
        <v>60</v>
      </c>
      <c r="F29" s="44"/>
      <c r="G29" s="44"/>
      <c r="H29" s="44" t="n">
        <f aca="false">B29+D29+E29+F29+G29+C29</f>
        <v>60</v>
      </c>
      <c r="I29" s="45"/>
      <c r="J29" s="49"/>
      <c r="K29" s="49"/>
      <c r="L29" s="49"/>
      <c r="M29" s="49"/>
      <c r="N29" s="49"/>
      <c r="O29" s="49"/>
      <c r="P29" s="49"/>
      <c r="Q29" s="49"/>
      <c r="R29" s="49"/>
      <c r="S29" s="49" t="n">
        <v>10</v>
      </c>
      <c r="T29" s="49"/>
      <c r="U29" s="49"/>
      <c r="V29" s="47" t="n">
        <f aca="false">J29+K29+L29+M29+N29+O29+P29+Q29+R29+S29+T29+U29</f>
        <v>10</v>
      </c>
      <c r="W29" s="47" t="n">
        <f aca="false">H29-V29</f>
        <v>50</v>
      </c>
      <c r="X29" s="48" t="n">
        <v>1.34</v>
      </c>
      <c r="Y29" s="48" t="n">
        <f aca="false">B29*$X29</f>
        <v>0</v>
      </c>
      <c r="Z29" s="48" t="n">
        <f aca="false">C29*$X29</f>
        <v>0</v>
      </c>
      <c r="AA29" s="48" t="n">
        <f aca="false">D29*$X29</f>
        <v>0</v>
      </c>
      <c r="AB29" s="48" t="n">
        <f aca="false">E29*$X29</f>
        <v>80.4</v>
      </c>
      <c r="AC29" s="48" t="n">
        <f aca="false">F29*$X29</f>
        <v>0</v>
      </c>
      <c r="AD29" s="48" t="n">
        <f aca="false">G29*$X29</f>
        <v>0</v>
      </c>
      <c r="AE29" s="48" t="n">
        <f aca="false">H29*$X29</f>
        <v>80.4</v>
      </c>
      <c r="AF29" s="48" t="n">
        <f aca="false">I29*$X29</f>
        <v>0</v>
      </c>
      <c r="AG29" s="48" t="n">
        <f aca="false">J29*$X29</f>
        <v>0</v>
      </c>
      <c r="AH29" s="48" t="n">
        <f aca="false">K29*$X29</f>
        <v>0</v>
      </c>
      <c r="AI29" s="48" t="n">
        <f aca="false">L29*$X29</f>
        <v>0</v>
      </c>
      <c r="AJ29" s="48" t="n">
        <f aca="false">M29*$X29</f>
        <v>0</v>
      </c>
      <c r="AK29" s="48" t="n">
        <f aca="false">N29*$X29</f>
        <v>0</v>
      </c>
      <c r="AL29" s="48" t="n">
        <f aca="false">O29*$X29</f>
        <v>0</v>
      </c>
      <c r="AM29" s="48" t="n">
        <f aca="false">P29*$X29</f>
        <v>0</v>
      </c>
      <c r="AN29" s="48" t="n">
        <f aca="false">Q29*$X29</f>
        <v>0</v>
      </c>
      <c r="AO29" s="48" t="n">
        <f aca="false">R29*$X29</f>
        <v>0</v>
      </c>
      <c r="AP29" s="48" t="n">
        <f aca="false">S29*$X29</f>
        <v>13.4</v>
      </c>
      <c r="AQ29" s="48" t="n">
        <f aca="false">T29*$X29</f>
        <v>0</v>
      </c>
      <c r="AR29" s="48" t="n">
        <f aca="false">U29*$X29</f>
        <v>0</v>
      </c>
      <c r="AS29" s="48" t="n">
        <f aca="false">V29*$X29</f>
        <v>13.4</v>
      </c>
      <c r="AT29" s="48" t="n">
        <f aca="false">W29*$X29</f>
        <v>67</v>
      </c>
      <c r="AU29" s="48" t="n">
        <f aca="false">X29*$X29</f>
        <v>1.7956</v>
      </c>
      <c r="AV29" s="48" t="n">
        <f aca="false">Y29*$X29</f>
        <v>0</v>
      </c>
      <c r="AW29" s="48" t="n">
        <f aca="false">Z29*$X29</f>
        <v>0</v>
      </c>
      <c r="AX29" s="48" t="n">
        <f aca="false">AA29*$X29</f>
        <v>0</v>
      </c>
      <c r="AY29" s="48" t="n">
        <f aca="false">AB29*$X29</f>
        <v>107.736</v>
      </c>
      <c r="AZ29" s="48" t="n">
        <f aca="false">AC29*$X29</f>
        <v>0</v>
      </c>
      <c r="BA29" s="1"/>
      <c r="BB29" s="1"/>
      <c r="BC29" s="1"/>
      <c r="BD29" s="1"/>
      <c r="BE29" s="1"/>
      <c r="BF29" s="1"/>
    </row>
    <row r="30" s="48" customFormat="true" ht="15" hidden="false" customHeight="true" outlineLevel="0" collapsed="false">
      <c r="A30" s="42" t="s">
        <v>99</v>
      </c>
      <c r="B30" s="42" t="n">
        <v>0</v>
      </c>
      <c r="C30" s="43"/>
      <c r="D30" s="44"/>
      <c r="E30" s="44" t="n">
        <v>122</v>
      </c>
      <c r="F30" s="44"/>
      <c r="G30" s="44"/>
      <c r="H30" s="44" t="n">
        <f aca="false">B30+D30+E30+F30+G30+C30</f>
        <v>122</v>
      </c>
      <c r="I30" s="45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7" t="n">
        <f aca="false">J30+K30+L30+M30+N30+O30+P30+Q30+R30+S30+T30+U30</f>
        <v>0</v>
      </c>
      <c r="W30" s="47" t="n">
        <f aca="false">H30-V30</f>
        <v>122</v>
      </c>
      <c r="X30" s="48" t="n">
        <v>1.34</v>
      </c>
      <c r="Y30" s="48" t="n">
        <f aca="false">B30*$X30</f>
        <v>0</v>
      </c>
      <c r="Z30" s="48" t="n">
        <f aca="false">C30*$X30</f>
        <v>0</v>
      </c>
      <c r="AA30" s="48" t="n">
        <f aca="false">D30*$X30</f>
        <v>0</v>
      </c>
      <c r="AB30" s="48" t="n">
        <f aca="false">E30*$X30</f>
        <v>163.48</v>
      </c>
      <c r="AC30" s="48" t="n">
        <f aca="false">F30*$X30</f>
        <v>0</v>
      </c>
      <c r="AD30" s="48" t="n">
        <f aca="false">G30*$X30</f>
        <v>0</v>
      </c>
      <c r="AE30" s="48" t="n">
        <f aca="false">H30*$X30</f>
        <v>163.48</v>
      </c>
      <c r="AF30" s="48" t="n">
        <f aca="false">I30*$X30</f>
        <v>0</v>
      </c>
      <c r="AG30" s="48" t="n">
        <f aca="false">J30*$X30</f>
        <v>0</v>
      </c>
      <c r="AH30" s="48" t="n">
        <f aca="false">K30*$X30</f>
        <v>0</v>
      </c>
      <c r="AI30" s="48" t="n">
        <f aca="false">L30*$X30</f>
        <v>0</v>
      </c>
      <c r="AJ30" s="48" t="n">
        <f aca="false">M30*$X30</f>
        <v>0</v>
      </c>
      <c r="AK30" s="48" t="n">
        <f aca="false">N30*$X30</f>
        <v>0</v>
      </c>
      <c r="AL30" s="48" t="n">
        <f aca="false">O30*$X30</f>
        <v>0</v>
      </c>
      <c r="AM30" s="48" t="n">
        <f aca="false">P30*$X30</f>
        <v>0</v>
      </c>
      <c r="AN30" s="48" t="n">
        <f aca="false">Q30*$X30</f>
        <v>0</v>
      </c>
      <c r="AO30" s="48" t="n">
        <f aca="false">R30*$X30</f>
        <v>0</v>
      </c>
      <c r="AP30" s="48" t="n">
        <f aca="false">S30*$X30</f>
        <v>0</v>
      </c>
      <c r="AQ30" s="48" t="n">
        <f aca="false">T30*$X30</f>
        <v>0</v>
      </c>
      <c r="AR30" s="48" t="n">
        <f aca="false">U30*$X30</f>
        <v>0</v>
      </c>
      <c r="AS30" s="48" t="n">
        <f aca="false">V30*$X30</f>
        <v>0</v>
      </c>
      <c r="AT30" s="48" t="n">
        <f aca="false">W30*$X30</f>
        <v>163.48</v>
      </c>
      <c r="AU30" s="48" t="n">
        <f aca="false">X30*$X30</f>
        <v>1.7956</v>
      </c>
      <c r="AV30" s="48" t="n">
        <f aca="false">Y30*$X30</f>
        <v>0</v>
      </c>
      <c r="AW30" s="48" t="n">
        <f aca="false">Z30*$X30</f>
        <v>0</v>
      </c>
      <c r="AX30" s="48" t="n">
        <f aca="false">AA30*$X30</f>
        <v>0</v>
      </c>
      <c r="AY30" s="48" t="n">
        <f aca="false">AB30*$X30</f>
        <v>219.0632</v>
      </c>
      <c r="AZ30" s="48" t="n">
        <f aca="false">AC30*$X30</f>
        <v>0</v>
      </c>
      <c r="BA30" s="1"/>
      <c r="BB30" s="1"/>
      <c r="BC30" s="1"/>
      <c r="BD30" s="1"/>
      <c r="BE30" s="1"/>
      <c r="BF30" s="1"/>
    </row>
    <row r="31" s="48" customFormat="true" ht="15" hidden="false" customHeight="true" outlineLevel="0" collapsed="false">
      <c r="A31" s="42" t="s">
        <v>100</v>
      </c>
      <c r="B31" s="42" t="n">
        <v>29</v>
      </c>
      <c r="C31" s="43" t="n">
        <v>2</v>
      </c>
      <c r="D31" s="44" t="n">
        <v>100</v>
      </c>
      <c r="E31" s="44" t="n">
        <v>84</v>
      </c>
      <c r="F31" s="44" t="n">
        <v>48</v>
      </c>
      <c r="G31" s="44"/>
      <c r="H31" s="44" t="n">
        <f aca="false">B31+D31+E31+F31+G31+C31</f>
        <v>263</v>
      </c>
      <c r="I31" s="45"/>
      <c r="J31" s="49" t="n">
        <v>60</v>
      </c>
      <c r="K31" s="49"/>
      <c r="L31" s="49"/>
      <c r="M31" s="49"/>
      <c r="N31" s="49"/>
      <c r="O31" s="49" t="n">
        <v>50</v>
      </c>
      <c r="P31" s="49"/>
      <c r="Q31" s="49"/>
      <c r="R31" s="49"/>
      <c r="S31" s="49"/>
      <c r="T31" s="49"/>
      <c r="U31" s="49"/>
      <c r="V31" s="47" t="n">
        <f aca="false">J31+K31+L31+M31+N31+O31+P31+Q31+R31+S31+T31+U31</f>
        <v>110</v>
      </c>
      <c r="W31" s="47" t="n">
        <f aca="false">H31-V31</f>
        <v>153</v>
      </c>
      <c r="X31" s="48" t="n">
        <v>1.22</v>
      </c>
      <c r="Y31" s="48" t="n">
        <f aca="false">B31*$X31</f>
        <v>35.38</v>
      </c>
      <c r="Z31" s="48" t="n">
        <f aca="false">C31*$X31</f>
        <v>2.44</v>
      </c>
      <c r="AA31" s="48" t="n">
        <f aca="false">D31*$X31</f>
        <v>122</v>
      </c>
      <c r="AB31" s="48" t="n">
        <f aca="false">E31*$X31</f>
        <v>102.48</v>
      </c>
      <c r="AC31" s="48" t="n">
        <f aca="false">F31*$X31</f>
        <v>58.56</v>
      </c>
      <c r="AD31" s="48" t="n">
        <f aca="false">G31*$X31</f>
        <v>0</v>
      </c>
      <c r="AE31" s="48" t="n">
        <f aca="false">H31*$X31</f>
        <v>320.86</v>
      </c>
      <c r="AF31" s="48" t="n">
        <f aca="false">I31*$X31</f>
        <v>0</v>
      </c>
      <c r="AG31" s="48" t="n">
        <f aca="false">J31*$X31</f>
        <v>73.2</v>
      </c>
      <c r="AH31" s="48" t="n">
        <f aca="false">K31*$X31</f>
        <v>0</v>
      </c>
      <c r="AI31" s="48" t="n">
        <f aca="false">L31*$X31</f>
        <v>0</v>
      </c>
      <c r="AJ31" s="48" t="n">
        <f aca="false">M31*$X31</f>
        <v>0</v>
      </c>
      <c r="AK31" s="48" t="n">
        <f aca="false">N31*$X31</f>
        <v>0</v>
      </c>
      <c r="AL31" s="48" t="n">
        <f aca="false">O31*$X31</f>
        <v>61</v>
      </c>
      <c r="AM31" s="48" t="n">
        <f aca="false">P31*$X31</f>
        <v>0</v>
      </c>
      <c r="AN31" s="48" t="n">
        <f aca="false">Q31*$X31</f>
        <v>0</v>
      </c>
      <c r="AO31" s="48" t="n">
        <f aca="false">R31*$X31</f>
        <v>0</v>
      </c>
      <c r="AP31" s="48" t="n">
        <f aca="false">S31*$X31</f>
        <v>0</v>
      </c>
      <c r="AQ31" s="48" t="n">
        <f aca="false">T31*$X31</f>
        <v>0</v>
      </c>
      <c r="AR31" s="48" t="n">
        <f aca="false">U31*$X31</f>
        <v>0</v>
      </c>
      <c r="AS31" s="48" t="n">
        <f aca="false">V31*$X31</f>
        <v>134.2</v>
      </c>
      <c r="AT31" s="48" t="n">
        <f aca="false">W31*$X31</f>
        <v>186.66</v>
      </c>
      <c r="AU31" s="48" t="n">
        <f aca="false">X31*$X31</f>
        <v>1.4884</v>
      </c>
      <c r="AV31" s="48" t="n">
        <f aca="false">Y31*$X31</f>
        <v>43.1636</v>
      </c>
      <c r="AW31" s="48" t="n">
        <f aca="false">Z31*$X31</f>
        <v>2.9768</v>
      </c>
      <c r="AX31" s="48" t="n">
        <f aca="false">AA31*$X31</f>
        <v>148.84</v>
      </c>
      <c r="AY31" s="48" t="n">
        <f aca="false">AB31*$X31</f>
        <v>125.0256</v>
      </c>
      <c r="AZ31" s="48" t="n">
        <f aca="false">AC31*$X31</f>
        <v>71.4432</v>
      </c>
      <c r="BA31" s="1"/>
      <c r="BB31" s="1"/>
      <c r="BC31" s="1"/>
      <c r="BD31" s="1"/>
      <c r="BE31" s="1"/>
      <c r="BF31" s="1"/>
    </row>
    <row r="32" s="48" customFormat="true" ht="15" hidden="false" customHeight="true" outlineLevel="0" collapsed="false">
      <c r="A32" s="42" t="s">
        <v>101</v>
      </c>
      <c r="B32" s="42" t="n">
        <v>4</v>
      </c>
      <c r="C32" s="43"/>
      <c r="D32" s="44"/>
      <c r="E32" s="44" t="n">
        <v>40</v>
      </c>
      <c r="F32" s="44" t="n">
        <v>1</v>
      </c>
      <c r="G32" s="44"/>
      <c r="H32" s="44" t="n">
        <f aca="false">B32+D32+E32+F32+G32+C32</f>
        <v>45</v>
      </c>
      <c r="I32" s="45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7" t="n">
        <f aca="false">J32+K32+L32+M32+N32+O32+P32+Q32+R32+S32+T32+U32</f>
        <v>0</v>
      </c>
      <c r="W32" s="47" t="n">
        <f aca="false">H32-V32</f>
        <v>45</v>
      </c>
      <c r="X32" s="48" t="n">
        <v>1.37</v>
      </c>
      <c r="Y32" s="48" t="n">
        <f aca="false">B32*$X32</f>
        <v>5.48</v>
      </c>
      <c r="Z32" s="48" t="n">
        <f aca="false">C32*$X32</f>
        <v>0</v>
      </c>
      <c r="AA32" s="48" t="n">
        <f aca="false">D32*$X32</f>
        <v>0</v>
      </c>
      <c r="AB32" s="48" t="n">
        <f aca="false">E32*$X32</f>
        <v>54.8</v>
      </c>
      <c r="AC32" s="48" t="n">
        <f aca="false">F32*$X32</f>
        <v>1.37</v>
      </c>
      <c r="AD32" s="48" t="n">
        <f aca="false">G32*$X32</f>
        <v>0</v>
      </c>
      <c r="AE32" s="48" t="n">
        <f aca="false">H32*$X32</f>
        <v>61.65</v>
      </c>
      <c r="AF32" s="48" t="n">
        <f aca="false">I32*$X32</f>
        <v>0</v>
      </c>
      <c r="AG32" s="48" t="n">
        <f aca="false">J32*$X32</f>
        <v>0</v>
      </c>
      <c r="AH32" s="48" t="n">
        <f aca="false">K32*$X32</f>
        <v>0</v>
      </c>
      <c r="AI32" s="48" t="n">
        <f aca="false">L32*$X32</f>
        <v>0</v>
      </c>
      <c r="AJ32" s="48" t="n">
        <f aca="false">M32*$X32</f>
        <v>0</v>
      </c>
      <c r="AK32" s="48" t="n">
        <f aca="false">N32*$X32</f>
        <v>0</v>
      </c>
      <c r="AL32" s="48" t="n">
        <f aca="false">O32*$X32</f>
        <v>0</v>
      </c>
      <c r="AM32" s="48" t="n">
        <f aca="false">P32*$X32</f>
        <v>0</v>
      </c>
      <c r="AN32" s="48" t="n">
        <f aca="false">Q32*$X32</f>
        <v>0</v>
      </c>
      <c r="AO32" s="48" t="n">
        <f aca="false">R32*$X32</f>
        <v>0</v>
      </c>
      <c r="AP32" s="48" t="n">
        <f aca="false">S32*$X32</f>
        <v>0</v>
      </c>
      <c r="AQ32" s="48" t="n">
        <f aca="false">T32*$X32</f>
        <v>0</v>
      </c>
      <c r="AR32" s="48" t="n">
        <f aca="false">U32*$X32</f>
        <v>0</v>
      </c>
      <c r="AS32" s="48" t="n">
        <f aca="false">V32*$X32</f>
        <v>0</v>
      </c>
      <c r="AT32" s="48" t="n">
        <f aca="false">W32*$X32</f>
        <v>61.65</v>
      </c>
      <c r="AU32" s="48" t="n">
        <f aca="false">X32*$X32</f>
        <v>1.8769</v>
      </c>
      <c r="AV32" s="48" t="n">
        <f aca="false">Y32*$X32</f>
        <v>7.5076</v>
      </c>
      <c r="AW32" s="48" t="n">
        <f aca="false">Z32*$X32</f>
        <v>0</v>
      </c>
      <c r="AX32" s="48" t="n">
        <f aca="false">AA32*$X32</f>
        <v>0</v>
      </c>
      <c r="AY32" s="48" t="n">
        <f aca="false">AB32*$X32</f>
        <v>75.076</v>
      </c>
      <c r="AZ32" s="48" t="n">
        <f aca="false">AC32*$X32</f>
        <v>1.8769</v>
      </c>
      <c r="BA32" s="1"/>
      <c r="BB32" s="1"/>
      <c r="BC32" s="1"/>
      <c r="BD32" s="1"/>
      <c r="BE32" s="1"/>
      <c r="BF32" s="1"/>
    </row>
    <row r="33" s="48" customFormat="true" ht="15" hidden="false" customHeight="true" outlineLevel="0" collapsed="false">
      <c r="A33" s="42" t="s">
        <v>102</v>
      </c>
      <c r="B33" s="42" t="n">
        <v>0</v>
      </c>
      <c r="C33" s="43"/>
      <c r="D33" s="44"/>
      <c r="E33" s="44"/>
      <c r="F33" s="44"/>
      <c r="G33" s="44"/>
      <c r="H33" s="44" t="n">
        <f aca="false">B33+D33+E33+F33+G33+C33</f>
        <v>0</v>
      </c>
      <c r="I33" s="45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7" t="n">
        <f aca="false">J33+K33+L33+M33+N33+O33+P33+Q33+R33+S33+T33+U33</f>
        <v>0</v>
      </c>
      <c r="W33" s="47" t="n">
        <f aca="false">H33-V33</f>
        <v>0</v>
      </c>
      <c r="X33" s="48" t="n">
        <v>14.45</v>
      </c>
      <c r="Y33" s="48" t="n">
        <f aca="false">B33*$X33</f>
        <v>0</v>
      </c>
      <c r="Z33" s="48" t="n">
        <f aca="false">C33*$X33</f>
        <v>0</v>
      </c>
      <c r="AA33" s="48" t="n">
        <f aca="false">D33*$X33</f>
        <v>0</v>
      </c>
      <c r="AB33" s="48" t="n">
        <f aca="false">E33*$X33</f>
        <v>0</v>
      </c>
      <c r="AC33" s="48" t="n">
        <f aca="false">F33*$X33</f>
        <v>0</v>
      </c>
      <c r="AD33" s="48" t="n">
        <f aca="false">G33*$X33</f>
        <v>0</v>
      </c>
      <c r="AE33" s="48" t="n">
        <f aca="false">H33*$X33</f>
        <v>0</v>
      </c>
      <c r="AF33" s="48" t="n">
        <f aca="false">I33*$X33</f>
        <v>0</v>
      </c>
      <c r="AG33" s="48" t="n">
        <f aca="false">J33*$X33</f>
        <v>0</v>
      </c>
      <c r="AH33" s="48" t="n">
        <f aca="false">K33*$X33</f>
        <v>0</v>
      </c>
      <c r="AI33" s="48" t="n">
        <f aca="false">L33*$X33</f>
        <v>0</v>
      </c>
      <c r="AJ33" s="48" t="n">
        <f aca="false">M33*$X33</f>
        <v>0</v>
      </c>
      <c r="AK33" s="48" t="n">
        <f aca="false">N33*$X33</f>
        <v>0</v>
      </c>
      <c r="AL33" s="48" t="n">
        <f aca="false">O33*$X33</f>
        <v>0</v>
      </c>
      <c r="AM33" s="48" t="n">
        <f aca="false">P33*$X33</f>
        <v>0</v>
      </c>
      <c r="AN33" s="48" t="n">
        <f aca="false">Q33*$X33</f>
        <v>0</v>
      </c>
      <c r="AO33" s="48" t="n">
        <f aca="false">R33*$X33</f>
        <v>0</v>
      </c>
      <c r="AP33" s="48" t="n">
        <f aca="false">S33*$X33</f>
        <v>0</v>
      </c>
      <c r="AQ33" s="48" t="n">
        <f aca="false">T33*$X33</f>
        <v>0</v>
      </c>
      <c r="AR33" s="48" t="n">
        <f aca="false">U33*$X33</f>
        <v>0</v>
      </c>
      <c r="AS33" s="48" t="n">
        <f aca="false">V33*$X33</f>
        <v>0</v>
      </c>
      <c r="AT33" s="48" t="n">
        <f aca="false">W33*$X33</f>
        <v>0</v>
      </c>
      <c r="AU33" s="48" t="n">
        <f aca="false">X33*$X33</f>
        <v>208.8025</v>
      </c>
      <c r="AV33" s="48" t="n">
        <f aca="false">Y33*$X33</f>
        <v>0</v>
      </c>
      <c r="AW33" s="48" t="n">
        <f aca="false">Z33*$X33</f>
        <v>0</v>
      </c>
      <c r="AX33" s="48" t="n">
        <f aca="false">AA33*$X33</f>
        <v>0</v>
      </c>
      <c r="AY33" s="48" t="n">
        <f aca="false">AB33*$X33</f>
        <v>0</v>
      </c>
      <c r="AZ33" s="48" t="n">
        <f aca="false">AC33*$X33</f>
        <v>0</v>
      </c>
      <c r="BA33" s="1"/>
      <c r="BB33" s="1"/>
      <c r="BC33" s="1"/>
      <c r="BD33" s="1"/>
      <c r="BE33" s="1"/>
      <c r="BF33" s="1"/>
    </row>
    <row r="34" s="48" customFormat="true" ht="15" hidden="false" customHeight="true" outlineLevel="0" collapsed="false">
      <c r="A34" s="42" t="s">
        <v>103</v>
      </c>
      <c r="B34" s="42" t="n">
        <v>0</v>
      </c>
      <c r="C34" s="43"/>
      <c r="D34" s="44"/>
      <c r="E34" s="44"/>
      <c r="F34" s="44"/>
      <c r="G34" s="44"/>
      <c r="H34" s="44" t="n">
        <f aca="false">B34+D34+E34+F34+G34+C34</f>
        <v>0</v>
      </c>
      <c r="I34" s="45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7" t="n">
        <f aca="false">J34+K34+L34+M34+N34+O34+P34+Q34+R34+S34+T34+U34</f>
        <v>0</v>
      </c>
      <c r="W34" s="47" t="n">
        <f aca="false">H34-V34</f>
        <v>0</v>
      </c>
      <c r="X34" s="48" t="n">
        <v>33</v>
      </c>
      <c r="Y34" s="48" t="n">
        <f aca="false">B34*$X34</f>
        <v>0</v>
      </c>
      <c r="Z34" s="48" t="n">
        <f aca="false">C34*$X34</f>
        <v>0</v>
      </c>
      <c r="AA34" s="48" t="n">
        <f aca="false">D34*$X34</f>
        <v>0</v>
      </c>
      <c r="AB34" s="48" t="n">
        <f aca="false">E34*$X34</f>
        <v>0</v>
      </c>
      <c r="AC34" s="48" t="n">
        <f aca="false">F34*$X34</f>
        <v>0</v>
      </c>
      <c r="AD34" s="48" t="n">
        <f aca="false">G34*$X34</f>
        <v>0</v>
      </c>
      <c r="AE34" s="48" t="n">
        <f aca="false">H34*$X34</f>
        <v>0</v>
      </c>
      <c r="AF34" s="48" t="n">
        <f aca="false">I34*$X34</f>
        <v>0</v>
      </c>
      <c r="AG34" s="48" t="n">
        <f aca="false">J34*$X34</f>
        <v>0</v>
      </c>
      <c r="AH34" s="48" t="n">
        <f aca="false">K34*$X34</f>
        <v>0</v>
      </c>
      <c r="AI34" s="48" t="n">
        <f aca="false">L34*$X34</f>
        <v>0</v>
      </c>
      <c r="AJ34" s="48" t="n">
        <f aca="false">M34*$X34</f>
        <v>0</v>
      </c>
      <c r="AK34" s="48" t="n">
        <f aca="false">N34*$X34</f>
        <v>0</v>
      </c>
      <c r="AL34" s="48" t="n">
        <f aca="false">O34*$X34</f>
        <v>0</v>
      </c>
      <c r="AM34" s="48" t="n">
        <f aca="false">P34*$X34</f>
        <v>0</v>
      </c>
      <c r="AN34" s="48" t="n">
        <f aca="false">Q34*$X34</f>
        <v>0</v>
      </c>
      <c r="AO34" s="48" t="n">
        <f aca="false">R34*$X34</f>
        <v>0</v>
      </c>
      <c r="AP34" s="48" t="n">
        <f aca="false">S34*$X34</f>
        <v>0</v>
      </c>
      <c r="AQ34" s="48" t="n">
        <f aca="false">T34*$X34</f>
        <v>0</v>
      </c>
      <c r="AR34" s="48" t="n">
        <f aca="false">U34*$X34</f>
        <v>0</v>
      </c>
      <c r="AS34" s="48" t="n">
        <f aca="false">V34*$X34</f>
        <v>0</v>
      </c>
      <c r="AT34" s="48" t="n">
        <f aca="false">W34*$X34</f>
        <v>0</v>
      </c>
      <c r="AU34" s="48" t="n">
        <f aca="false">X34*$X34</f>
        <v>1089</v>
      </c>
      <c r="AV34" s="48" t="n">
        <f aca="false">Y34*$X34</f>
        <v>0</v>
      </c>
      <c r="AW34" s="48" t="n">
        <f aca="false">Z34*$X34</f>
        <v>0</v>
      </c>
      <c r="AX34" s="48" t="n">
        <f aca="false">AA34*$X34</f>
        <v>0</v>
      </c>
      <c r="AY34" s="48" t="n">
        <f aca="false">AB34*$X34</f>
        <v>0</v>
      </c>
      <c r="AZ34" s="48" t="n">
        <f aca="false">AC34*$X34</f>
        <v>0</v>
      </c>
      <c r="BA34" s="1"/>
      <c r="BB34" s="1"/>
      <c r="BC34" s="1"/>
      <c r="BD34" s="1"/>
      <c r="BE34" s="1"/>
      <c r="BF34" s="1"/>
    </row>
    <row r="35" s="48" customFormat="true" ht="15" hidden="false" customHeight="true" outlineLevel="0" collapsed="false">
      <c r="A35" s="42" t="s">
        <v>104</v>
      </c>
      <c r="B35" s="42" t="n">
        <v>0</v>
      </c>
      <c r="C35" s="43"/>
      <c r="D35" s="44"/>
      <c r="E35" s="44"/>
      <c r="F35" s="44"/>
      <c r="G35" s="44"/>
      <c r="H35" s="44" t="n">
        <f aca="false">B35+D35+E35+F35+G35+C35</f>
        <v>0</v>
      </c>
      <c r="I35" s="45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7" t="n">
        <f aca="false">J35+K35+L35+M35+N35+O35+P35+Q35+R35+S35+T35+U35</f>
        <v>0</v>
      </c>
      <c r="W35" s="47" t="n">
        <f aca="false">H35-V35</f>
        <v>0</v>
      </c>
      <c r="X35" s="48" t="n">
        <v>16.5</v>
      </c>
      <c r="Y35" s="48" t="n">
        <f aca="false">B35*$X35</f>
        <v>0</v>
      </c>
      <c r="Z35" s="48" t="n">
        <f aca="false">C35*$X35</f>
        <v>0</v>
      </c>
      <c r="AA35" s="48" t="n">
        <f aca="false">D35*$X35</f>
        <v>0</v>
      </c>
      <c r="AB35" s="48" t="n">
        <f aca="false">E35*$X35</f>
        <v>0</v>
      </c>
      <c r="AC35" s="48" t="n">
        <f aca="false">F35*$X35</f>
        <v>0</v>
      </c>
      <c r="AD35" s="48" t="n">
        <f aca="false">G35*$X35</f>
        <v>0</v>
      </c>
      <c r="AE35" s="48" t="n">
        <f aca="false">H35*$X35</f>
        <v>0</v>
      </c>
      <c r="AF35" s="48" t="n">
        <f aca="false">I35*$X35</f>
        <v>0</v>
      </c>
      <c r="AG35" s="48" t="n">
        <f aca="false">J35*$X35</f>
        <v>0</v>
      </c>
      <c r="AH35" s="48" t="n">
        <f aca="false">K35*$X35</f>
        <v>0</v>
      </c>
      <c r="AI35" s="48" t="n">
        <f aca="false">L35*$X35</f>
        <v>0</v>
      </c>
      <c r="AJ35" s="48" t="n">
        <f aca="false">M35*$X35</f>
        <v>0</v>
      </c>
      <c r="AK35" s="48" t="n">
        <f aca="false">N35*$X35</f>
        <v>0</v>
      </c>
      <c r="AL35" s="48" t="n">
        <f aca="false">O35*$X35</f>
        <v>0</v>
      </c>
      <c r="AM35" s="48" t="n">
        <f aca="false">P35*$X35</f>
        <v>0</v>
      </c>
      <c r="AN35" s="48" t="n">
        <f aca="false">Q35*$X35</f>
        <v>0</v>
      </c>
      <c r="AO35" s="48" t="n">
        <f aca="false">R35*$X35</f>
        <v>0</v>
      </c>
      <c r="AP35" s="48" t="n">
        <f aca="false">S35*$X35</f>
        <v>0</v>
      </c>
      <c r="AQ35" s="48" t="n">
        <f aca="false">T35*$X35</f>
        <v>0</v>
      </c>
      <c r="AR35" s="48" t="n">
        <f aca="false">U35*$X35</f>
        <v>0</v>
      </c>
      <c r="AS35" s="48" t="n">
        <f aca="false">V35*$X35</f>
        <v>0</v>
      </c>
      <c r="AT35" s="48" t="n">
        <f aca="false">W35*$X35</f>
        <v>0</v>
      </c>
      <c r="AU35" s="48" t="n">
        <f aca="false">X35*$X35</f>
        <v>272.25</v>
      </c>
      <c r="AV35" s="48" t="n">
        <f aca="false">Y35*$X35</f>
        <v>0</v>
      </c>
      <c r="AW35" s="48" t="n">
        <f aca="false">Z35*$X35</f>
        <v>0</v>
      </c>
      <c r="AX35" s="48" t="n">
        <f aca="false">AA35*$X35</f>
        <v>0</v>
      </c>
      <c r="AY35" s="48" t="n">
        <f aca="false">AB35*$X35</f>
        <v>0</v>
      </c>
      <c r="AZ35" s="48" t="n">
        <f aca="false">AC35*$X35</f>
        <v>0</v>
      </c>
      <c r="BA35" s="1"/>
      <c r="BB35" s="1"/>
      <c r="BC35" s="1"/>
      <c r="BD35" s="1"/>
      <c r="BE35" s="1"/>
      <c r="BF35" s="1"/>
    </row>
    <row r="36" s="48" customFormat="true" ht="15" hidden="false" customHeight="true" outlineLevel="0" collapsed="false">
      <c r="A36" s="42" t="s">
        <v>105</v>
      </c>
      <c r="B36" s="42" t="n">
        <v>0</v>
      </c>
      <c r="C36" s="43"/>
      <c r="D36" s="44"/>
      <c r="E36" s="44"/>
      <c r="F36" s="44"/>
      <c r="G36" s="44"/>
      <c r="H36" s="44" t="n">
        <f aca="false">B36+D36+E36+F36+G36+C36</f>
        <v>0</v>
      </c>
      <c r="I36" s="45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7" t="n">
        <f aca="false">J36+K36+L36+M36+N36+O36+P36+Q36+R36+S36+T36+U36</f>
        <v>0</v>
      </c>
      <c r="W36" s="47" t="n">
        <f aca="false">H36-V36</f>
        <v>0</v>
      </c>
      <c r="X36" s="48" t="n">
        <v>38.5</v>
      </c>
      <c r="Y36" s="48" t="n">
        <f aca="false">B36*$X36</f>
        <v>0</v>
      </c>
      <c r="Z36" s="48" t="n">
        <f aca="false">C36*$X36</f>
        <v>0</v>
      </c>
      <c r="AA36" s="48" t="n">
        <f aca="false">D36*$X36</f>
        <v>0</v>
      </c>
      <c r="AB36" s="48" t="n">
        <f aca="false">E36*$X36</f>
        <v>0</v>
      </c>
      <c r="AC36" s="48" t="n">
        <f aca="false">F36*$X36</f>
        <v>0</v>
      </c>
      <c r="AD36" s="48" t="n">
        <f aca="false">G36*$X36</f>
        <v>0</v>
      </c>
      <c r="AE36" s="48" t="n">
        <f aca="false">H36*$X36</f>
        <v>0</v>
      </c>
      <c r="AF36" s="48" t="n">
        <f aca="false">I36*$X36</f>
        <v>0</v>
      </c>
      <c r="AG36" s="48" t="n">
        <f aca="false">J36*$X36</f>
        <v>0</v>
      </c>
      <c r="AH36" s="48" t="n">
        <f aca="false">K36*$X36</f>
        <v>0</v>
      </c>
      <c r="AI36" s="48" t="n">
        <f aca="false">L36*$X36</f>
        <v>0</v>
      </c>
      <c r="AJ36" s="48" t="n">
        <f aca="false">M36*$X36</f>
        <v>0</v>
      </c>
      <c r="AK36" s="48" t="n">
        <f aca="false">N36*$X36</f>
        <v>0</v>
      </c>
      <c r="AL36" s="48" t="n">
        <f aca="false">O36*$X36</f>
        <v>0</v>
      </c>
      <c r="AM36" s="48" t="n">
        <f aca="false">P36*$X36</f>
        <v>0</v>
      </c>
      <c r="AN36" s="48" t="n">
        <f aca="false">Q36*$X36</f>
        <v>0</v>
      </c>
      <c r="AO36" s="48" t="n">
        <f aca="false">R36*$X36</f>
        <v>0</v>
      </c>
      <c r="AP36" s="48" t="n">
        <f aca="false">S36*$X36</f>
        <v>0</v>
      </c>
      <c r="AQ36" s="48" t="n">
        <f aca="false">T36*$X36</f>
        <v>0</v>
      </c>
      <c r="AR36" s="48" t="n">
        <f aca="false">U36*$X36</f>
        <v>0</v>
      </c>
      <c r="AS36" s="48" t="n">
        <f aca="false">V36*$X36</f>
        <v>0</v>
      </c>
      <c r="AT36" s="48" t="n">
        <f aca="false">W36*$X36</f>
        <v>0</v>
      </c>
      <c r="AU36" s="48" t="n">
        <f aca="false">X36*$X36</f>
        <v>1482.25</v>
      </c>
      <c r="AV36" s="48" t="n">
        <f aca="false">Y36*$X36</f>
        <v>0</v>
      </c>
      <c r="AW36" s="48" t="n">
        <f aca="false">Z36*$X36</f>
        <v>0</v>
      </c>
      <c r="AX36" s="48" t="n">
        <f aca="false">AA36*$X36</f>
        <v>0</v>
      </c>
      <c r="AY36" s="48" t="n">
        <f aca="false">AB36*$X36</f>
        <v>0</v>
      </c>
      <c r="AZ36" s="48" t="n">
        <f aca="false">AC36*$X36</f>
        <v>0</v>
      </c>
      <c r="BA36" s="1"/>
      <c r="BB36" s="1"/>
      <c r="BC36" s="1"/>
      <c r="BD36" s="1"/>
      <c r="BE36" s="1"/>
      <c r="BF36" s="1"/>
    </row>
    <row r="37" s="48" customFormat="true" ht="15" hidden="false" customHeight="true" outlineLevel="0" collapsed="false">
      <c r="A37" s="42" t="s">
        <v>106</v>
      </c>
      <c r="B37" s="42" t="n">
        <v>0</v>
      </c>
      <c r="C37" s="43"/>
      <c r="D37" s="44"/>
      <c r="E37" s="44"/>
      <c r="F37" s="44"/>
      <c r="G37" s="44"/>
      <c r="H37" s="44" t="n">
        <f aca="false">B37+D37+E37+F37+G37+C37</f>
        <v>0</v>
      </c>
      <c r="I37" s="45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7" t="n">
        <f aca="false">J37+K37+L37+M37+N37+O37+P37+Q37+R37+S37+T37+U37</f>
        <v>0</v>
      </c>
      <c r="W37" s="47" t="n">
        <f aca="false">H37-V37</f>
        <v>0</v>
      </c>
      <c r="X37" s="48" t="n">
        <v>0.8</v>
      </c>
      <c r="Y37" s="48" t="n">
        <f aca="false">B37*$X37</f>
        <v>0</v>
      </c>
      <c r="Z37" s="48" t="n">
        <f aca="false">C37*$X37</f>
        <v>0</v>
      </c>
      <c r="AA37" s="48" t="n">
        <f aca="false">D37*$X37</f>
        <v>0</v>
      </c>
      <c r="AB37" s="48" t="n">
        <f aca="false">E37*$X37</f>
        <v>0</v>
      </c>
      <c r="AC37" s="48" t="n">
        <f aca="false">F37*$X37</f>
        <v>0</v>
      </c>
      <c r="AD37" s="48" t="n">
        <f aca="false">G37*$X37</f>
        <v>0</v>
      </c>
      <c r="AE37" s="48" t="n">
        <f aca="false">H37*$X37</f>
        <v>0</v>
      </c>
      <c r="AF37" s="48" t="n">
        <f aca="false">I37*$X37</f>
        <v>0</v>
      </c>
      <c r="AG37" s="48" t="n">
        <f aca="false">J37*$X37</f>
        <v>0</v>
      </c>
      <c r="AH37" s="48" t="n">
        <f aca="false">K37*$X37</f>
        <v>0</v>
      </c>
      <c r="AI37" s="48" t="n">
        <f aca="false">L37*$X37</f>
        <v>0</v>
      </c>
      <c r="AJ37" s="48" t="n">
        <f aca="false">M37*$X37</f>
        <v>0</v>
      </c>
      <c r="AK37" s="48" t="n">
        <f aca="false">N37*$X37</f>
        <v>0</v>
      </c>
      <c r="AL37" s="48" t="n">
        <f aca="false">O37*$X37</f>
        <v>0</v>
      </c>
      <c r="AM37" s="48" t="n">
        <f aca="false">P37*$X37</f>
        <v>0</v>
      </c>
      <c r="AN37" s="48" t="n">
        <f aca="false">Q37*$X37</f>
        <v>0</v>
      </c>
      <c r="AO37" s="48" t="n">
        <f aca="false">R37*$X37</f>
        <v>0</v>
      </c>
      <c r="AP37" s="48" t="n">
        <f aca="false">S37*$X37</f>
        <v>0</v>
      </c>
      <c r="AQ37" s="48" t="n">
        <f aca="false">T37*$X37</f>
        <v>0</v>
      </c>
      <c r="AR37" s="48" t="n">
        <f aca="false">U37*$X37</f>
        <v>0</v>
      </c>
      <c r="AS37" s="48" t="n">
        <f aca="false">V37*$X37</f>
        <v>0</v>
      </c>
      <c r="AT37" s="48" t="n">
        <f aca="false">W37*$X37</f>
        <v>0</v>
      </c>
      <c r="AU37" s="48" t="n">
        <f aca="false">X37*$X37</f>
        <v>0.64</v>
      </c>
      <c r="AV37" s="48" t="n">
        <f aca="false">Y37*$X37</f>
        <v>0</v>
      </c>
      <c r="AW37" s="48" t="n">
        <f aca="false">Z37*$X37</f>
        <v>0</v>
      </c>
      <c r="AX37" s="48" t="n">
        <f aca="false">AA37*$X37</f>
        <v>0</v>
      </c>
      <c r="AY37" s="48" t="n">
        <f aca="false">AB37*$X37</f>
        <v>0</v>
      </c>
      <c r="AZ37" s="48" t="n">
        <f aca="false">AC37*$X37</f>
        <v>0</v>
      </c>
      <c r="BA37" s="1"/>
      <c r="BB37" s="1"/>
      <c r="BC37" s="1"/>
      <c r="BD37" s="1"/>
      <c r="BE37" s="1"/>
      <c r="BF37" s="1"/>
    </row>
    <row r="38" s="48" customFormat="true" ht="15" hidden="false" customHeight="true" outlineLevel="0" collapsed="false">
      <c r="A38" s="42" t="s">
        <v>107</v>
      </c>
      <c r="B38" s="42" t="n">
        <v>430</v>
      </c>
      <c r="C38" s="43"/>
      <c r="D38" s="44"/>
      <c r="E38" s="44" t="n">
        <v>325</v>
      </c>
      <c r="F38" s="44"/>
      <c r="G38" s="44"/>
      <c r="H38" s="44" t="n">
        <f aca="false">B38+D38+E38+F38+G38+C38</f>
        <v>755</v>
      </c>
      <c r="I38" s="45"/>
      <c r="J38" s="49"/>
      <c r="K38" s="49"/>
      <c r="L38" s="49"/>
      <c r="M38" s="49"/>
      <c r="N38" s="49" t="n">
        <v>816</v>
      </c>
      <c r="O38" s="49"/>
      <c r="P38" s="49"/>
      <c r="Q38" s="49"/>
      <c r="R38" s="49"/>
      <c r="S38" s="49"/>
      <c r="T38" s="49"/>
      <c r="U38" s="49" t="n">
        <v>108</v>
      </c>
      <c r="V38" s="47" t="n">
        <f aca="false">J38+K38+L38+M38+N38+O38+P38+Q38+R38+S38+T38+U38</f>
        <v>924</v>
      </c>
      <c r="W38" s="47" t="n">
        <f aca="false">H38-V38</f>
        <v>-169</v>
      </c>
      <c r="X38" s="48" t="n">
        <v>0.57</v>
      </c>
      <c r="Y38" s="48" t="n">
        <f aca="false">B38*$X38</f>
        <v>245.1</v>
      </c>
      <c r="Z38" s="48" t="n">
        <f aca="false">C38*$X38</f>
        <v>0</v>
      </c>
      <c r="AA38" s="48" t="n">
        <f aca="false">D38*$X38</f>
        <v>0</v>
      </c>
      <c r="AB38" s="48" t="n">
        <f aca="false">E38*$X38</f>
        <v>185.25</v>
      </c>
      <c r="AC38" s="48" t="n">
        <f aca="false">F38*$X38</f>
        <v>0</v>
      </c>
      <c r="AD38" s="48" t="n">
        <f aca="false">G38*$X38</f>
        <v>0</v>
      </c>
      <c r="AE38" s="48" t="n">
        <f aca="false">H38*$X38</f>
        <v>430.35</v>
      </c>
      <c r="AF38" s="48" t="n">
        <f aca="false">I38*$X38</f>
        <v>0</v>
      </c>
      <c r="AG38" s="48" t="n">
        <f aca="false">J38*$X38</f>
        <v>0</v>
      </c>
      <c r="AH38" s="48" t="n">
        <f aca="false">K38*$X38</f>
        <v>0</v>
      </c>
      <c r="AI38" s="48" t="n">
        <f aca="false">L38*$X38</f>
        <v>0</v>
      </c>
      <c r="AJ38" s="48" t="n">
        <f aca="false">M38*$X38</f>
        <v>0</v>
      </c>
      <c r="AK38" s="48" t="n">
        <f aca="false">N38*$X38</f>
        <v>465.12</v>
      </c>
      <c r="AL38" s="48" t="n">
        <f aca="false">O38*$X38</f>
        <v>0</v>
      </c>
      <c r="AM38" s="48" t="n">
        <f aca="false">P38*$X38</f>
        <v>0</v>
      </c>
      <c r="AN38" s="48" t="n">
        <f aca="false">Q38*$X38</f>
        <v>0</v>
      </c>
      <c r="AO38" s="48" t="n">
        <f aca="false">R38*$X38</f>
        <v>0</v>
      </c>
      <c r="AP38" s="48" t="n">
        <f aca="false">S38*$X38</f>
        <v>0</v>
      </c>
      <c r="AQ38" s="48" t="n">
        <f aca="false">T38*$X38</f>
        <v>0</v>
      </c>
      <c r="AR38" s="48" t="n">
        <f aca="false">U38*$X38</f>
        <v>61.56</v>
      </c>
      <c r="AS38" s="48" t="n">
        <f aca="false">V38*$X38</f>
        <v>526.68</v>
      </c>
      <c r="AT38" s="48" t="n">
        <f aca="false">W38*$X38</f>
        <v>-96.33</v>
      </c>
      <c r="AU38" s="48" t="n">
        <f aca="false">X38*$X38</f>
        <v>0.3249</v>
      </c>
      <c r="AV38" s="48" t="n">
        <f aca="false">Y38*$X38</f>
        <v>139.707</v>
      </c>
      <c r="AW38" s="48" t="n">
        <f aca="false">Z38*$X38</f>
        <v>0</v>
      </c>
      <c r="AX38" s="48" t="n">
        <f aca="false">AA38*$X38</f>
        <v>0</v>
      </c>
      <c r="AY38" s="48" t="n">
        <f aca="false">AB38*$X38</f>
        <v>105.5925</v>
      </c>
      <c r="AZ38" s="48" t="n">
        <f aca="false">AC38*$X38</f>
        <v>0</v>
      </c>
      <c r="BA38" s="1"/>
      <c r="BB38" s="1"/>
      <c r="BC38" s="1"/>
      <c r="BD38" s="1"/>
      <c r="BE38" s="1"/>
      <c r="BF38" s="1"/>
    </row>
    <row r="39" s="48" customFormat="true" ht="15" hidden="false" customHeight="true" outlineLevel="0" collapsed="false">
      <c r="A39" s="42" t="s">
        <v>108</v>
      </c>
      <c r="B39" s="42" t="n">
        <v>0</v>
      </c>
      <c r="C39" s="43"/>
      <c r="D39" s="44"/>
      <c r="E39" s="44"/>
      <c r="F39" s="44"/>
      <c r="G39" s="44"/>
      <c r="H39" s="44" t="n">
        <f aca="false">B39+D39+E39+F39+G39+C39</f>
        <v>0</v>
      </c>
      <c r="I39" s="45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7" t="n">
        <f aca="false">J39+K39+L39+M39+N39+O39+P39+Q39+R39+S39+T39+U39</f>
        <v>0</v>
      </c>
      <c r="W39" s="47" t="n">
        <f aca="false">H39-V39</f>
        <v>0</v>
      </c>
      <c r="X39" s="48" t="n">
        <v>0.57</v>
      </c>
      <c r="Y39" s="48" t="n">
        <f aca="false">B39*$X39</f>
        <v>0</v>
      </c>
      <c r="Z39" s="48" t="n">
        <f aca="false">C39*$X39</f>
        <v>0</v>
      </c>
      <c r="AA39" s="48" t="n">
        <f aca="false">D39*$X39</f>
        <v>0</v>
      </c>
      <c r="AB39" s="48" t="n">
        <f aca="false">E39*$X39</f>
        <v>0</v>
      </c>
      <c r="AC39" s="48" t="n">
        <f aca="false">F39*$X39</f>
        <v>0</v>
      </c>
      <c r="AD39" s="48" t="n">
        <f aca="false">G39*$X39</f>
        <v>0</v>
      </c>
      <c r="AE39" s="48" t="n">
        <f aca="false">H39*$X39</f>
        <v>0</v>
      </c>
      <c r="AF39" s="48" t="n">
        <f aca="false">I39*$X39</f>
        <v>0</v>
      </c>
      <c r="AG39" s="48" t="n">
        <f aca="false">J39*$X39</f>
        <v>0</v>
      </c>
      <c r="AH39" s="48" t="n">
        <f aca="false">K39*$X39</f>
        <v>0</v>
      </c>
      <c r="AI39" s="48" t="n">
        <f aca="false">L39*$X39</f>
        <v>0</v>
      </c>
      <c r="AJ39" s="48" t="n">
        <f aca="false">M39*$X39</f>
        <v>0</v>
      </c>
      <c r="AK39" s="48" t="n">
        <f aca="false">N39*$X39</f>
        <v>0</v>
      </c>
      <c r="AL39" s="48" t="n">
        <f aca="false">O39*$X39</f>
        <v>0</v>
      </c>
      <c r="AM39" s="48" t="n">
        <f aca="false">P39*$X39</f>
        <v>0</v>
      </c>
      <c r="AN39" s="48" t="n">
        <f aca="false">Q39*$X39</f>
        <v>0</v>
      </c>
      <c r="AO39" s="48" t="n">
        <f aca="false">R39*$X39</f>
        <v>0</v>
      </c>
      <c r="AP39" s="48" t="n">
        <f aca="false">S39*$X39</f>
        <v>0</v>
      </c>
      <c r="AQ39" s="48" t="n">
        <f aca="false">T39*$X39</f>
        <v>0</v>
      </c>
      <c r="AR39" s="48" t="n">
        <f aca="false">U39*$X39</f>
        <v>0</v>
      </c>
      <c r="AS39" s="48" t="n">
        <f aca="false">V39*$X39</f>
        <v>0</v>
      </c>
      <c r="AT39" s="48" t="n">
        <f aca="false">W39*$X39</f>
        <v>0</v>
      </c>
      <c r="AU39" s="48" t="n">
        <f aca="false">X39*$X39</f>
        <v>0.3249</v>
      </c>
      <c r="AV39" s="48" t="n">
        <f aca="false">Y39*$X39</f>
        <v>0</v>
      </c>
      <c r="AW39" s="48" t="n">
        <f aca="false">Z39*$X39</f>
        <v>0</v>
      </c>
      <c r="AX39" s="48" t="n">
        <f aca="false">AA39*$X39</f>
        <v>0</v>
      </c>
      <c r="AY39" s="48" t="n">
        <f aca="false">AB39*$X39</f>
        <v>0</v>
      </c>
      <c r="AZ39" s="48" t="n">
        <f aca="false">AC39*$X39</f>
        <v>0</v>
      </c>
      <c r="BA39" s="1"/>
      <c r="BB39" s="1"/>
      <c r="BC39" s="1"/>
      <c r="BD39" s="1"/>
      <c r="BE39" s="1"/>
      <c r="BF39" s="1"/>
    </row>
    <row r="40" s="48" customFormat="true" ht="15" hidden="false" customHeight="true" outlineLevel="0" collapsed="false">
      <c r="A40" s="42" t="s">
        <v>109</v>
      </c>
      <c r="B40" s="42" t="n">
        <v>252</v>
      </c>
      <c r="C40" s="43"/>
      <c r="D40" s="44"/>
      <c r="E40" s="44" t="n">
        <v>378</v>
      </c>
      <c r="F40" s="44"/>
      <c r="G40" s="44"/>
      <c r="H40" s="44" t="n">
        <f aca="false">B40+D40+E40+F40+G40+C40</f>
        <v>630</v>
      </c>
      <c r="I40" s="45"/>
      <c r="J40" s="49"/>
      <c r="K40" s="49" t="n">
        <v>46</v>
      </c>
      <c r="L40" s="49"/>
      <c r="M40" s="49"/>
      <c r="N40" s="49" t="n">
        <v>544</v>
      </c>
      <c r="O40" s="49"/>
      <c r="P40" s="49"/>
      <c r="Q40" s="49" t="n">
        <v>40</v>
      </c>
      <c r="R40" s="49" t="n">
        <v>38</v>
      </c>
      <c r="S40" s="49"/>
      <c r="T40" s="49"/>
      <c r="U40" s="49" t="n">
        <v>104</v>
      </c>
      <c r="V40" s="47" t="n">
        <f aca="false">J40+K40+L40+M40+N40+O40+P40+Q40+R40+S40+T40+U40</f>
        <v>772</v>
      </c>
      <c r="W40" s="47" t="n">
        <f aca="false">H40-V40</f>
        <v>-142</v>
      </c>
      <c r="X40" s="48" t="n">
        <v>4.11</v>
      </c>
      <c r="Y40" s="48" t="n">
        <f aca="false">B40*$X40</f>
        <v>1035.72</v>
      </c>
      <c r="Z40" s="48" t="n">
        <f aca="false">C40*$X40</f>
        <v>0</v>
      </c>
      <c r="AA40" s="48" t="n">
        <f aca="false">D40*$X40</f>
        <v>0</v>
      </c>
      <c r="AB40" s="48" t="n">
        <f aca="false">E40*$X40</f>
        <v>1553.58</v>
      </c>
      <c r="AC40" s="48" t="n">
        <f aca="false">F40*$X40</f>
        <v>0</v>
      </c>
      <c r="AD40" s="48" t="n">
        <f aca="false">G40*$X40</f>
        <v>0</v>
      </c>
      <c r="AE40" s="48" t="n">
        <f aca="false">H40*$X40</f>
        <v>2589.3</v>
      </c>
      <c r="AF40" s="48" t="n">
        <f aca="false">I40*$X40</f>
        <v>0</v>
      </c>
      <c r="AG40" s="48" t="n">
        <f aca="false">J40*$X40</f>
        <v>0</v>
      </c>
      <c r="AH40" s="48" t="n">
        <f aca="false">K40*$X40</f>
        <v>189.06</v>
      </c>
      <c r="AI40" s="48" t="n">
        <f aca="false">L40*$X40</f>
        <v>0</v>
      </c>
      <c r="AJ40" s="48" t="n">
        <f aca="false">M40*$X40</f>
        <v>0</v>
      </c>
      <c r="AK40" s="48" t="n">
        <f aca="false">N40*$X40</f>
        <v>2235.84</v>
      </c>
      <c r="AL40" s="48" t="n">
        <f aca="false">O40*$X40</f>
        <v>0</v>
      </c>
      <c r="AM40" s="48" t="n">
        <f aca="false">P40*$X40</f>
        <v>0</v>
      </c>
      <c r="AN40" s="48" t="n">
        <f aca="false">Q40*$X40</f>
        <v>164.4</v>
      </c>
      <c r="AO40" s="48" t="n">
        <f aca="false">R40*$X40</f>
        <v>156.18</v>
      </c>
      <c r="AP40" s="48" t="n">
        <f aca="false">S40*$X40</f>
        <v>0</v>
      </c>
      <c r="AQ40" s="48" t="n">
        <f aca="false">T40*$X40</f>
        <v>0</v>
      </c>
      <c r="AR40" s="48" t="n">
        <f aca="false">U40*$X40</f>
        <v>427.44</v>
      </c>
      <c r="AS40" s="48" t="n">
        <f aca="false">V40*$X40</f>
        <v>3172.92</v>
      </c>
      <c r="AT40" s="48" t="n">
        <f aca="false">W40*$X40</f>
        <v>-583.62</v>
      </c>
      <c r="AU40" s="48" t="n">
        <f aca="false">X40*$X40</f>
        <v>16.8921</v>
      </c>
      <c r="AV40" s="48" t="n">
        <f aca="false">Y40*$X40</f>
        <v>4256.8092</v>
      </c>
      <c r="AW40" s="48" t="n">
        <f aca="false">Z40*$X40</f>
        <v>0</v>
      </c>
      <c r="AX40" s="48" t="n">
        <f aca="false">AA40*$X40</f>
        <v>0</v>
      </c>
      <c r="AY40" s="48" t="n">
        <f aca="false">AB40*$X40</f>
        <v>6385.2138</v>
      </c>
      <c r="AZ40" s="48" t="n">
        <f aca="false">AC40*$X40</f>
        <v>0</v>
      </c>
      <c r="BA40" s="1"/>
      <c r="BB40" s="1"/>
      <c r="BC40" s="1"/>
      <c r="BD40" s="1"/>
      <c r="BE40" s="1"/>
      <c r="BF40" s="1"/>
    </row>
    <row r="41" s="48" customFormat="true" ht="15" hidden="false" customHeight="true" outlineLevel="0" collapsed="false">
      <c r="A41" s="42" t="s">
        <v>110</v>
      </c>
      <c r="B41" s="42" t="n">
        <v>23</v>
      </c>
      <c r="C41" s="43"/>
      <c r="D41" s="44"/>
      <c r="E41" s="44"/>
      <c r="F41" s="44"/>
      <c r="G41" s="44"/>
      <c r="H41" s="44" t="n">
        <f aca="false">B41+D41+E41+F41+G41+C41</f>
        <v>23</v>
      </c>
      <c r="I41" s="45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7" t="n">
        <f aca="false">J41+K41+L41+M41+N41+O41+P41+Q41+R41+S41+T41+U41</f>
        <v>0</v>
      </c>
      <c r="W41" s="47" t="n">
        <f aca="false">H41-V41</f>
        <v>23</v>
      </c>
      <c r="X41" s="48" t="n">
        <v>4.11</v>
      </c>
      <c r="Y41" s="48" t="n">
        <f aca="false">B41*$X41</f>
        <v>94.53</v>
      </c>
      <c r="Z41" s="48" t="n">
        <f aca="false">C41*$X41</f>
        <v>0</v>
      </c>
      <c r="AA41" s="48" t="n">
        <f aca="false">D41*$X41</f>
        <v>0</v>
      </c>
      <c r="AB41" s="48" t="n">
        <f aca="false">E41*$X41</f>
        <v>0</v>
      </c>
      <c r="AC41" s="48" t="n">
        <f aca="false">F41*$X41</f>
        <v>0</v>
      </c>
      <c r="AD41" s="48" t="n">
        <f aca="false">G41*$X41</f>
        <v>0</v>
      </c>
      <c r="AE41" s="48" t="n">
        <f aca="false">H41*$X41</f>
        <v>94.53</v>
      </c>
      <c r="AF41" s="48" t="n">
        <f aca="false">I41*$X41</f>
        <v>0</v>
      </c>
      <c r="AG41" s="48" t="n">
        <f aca="false">J41*$X41</f>
        <v>0</v>
      </c>
      <c r="AH41" s="48" t="n">
        <f aca="false">K41*$X41</f>
        <v>0</v>
      </c>
      <c r="AI41" s="48" t="n">
        <f aca="false">L41*$X41</f>
        <v>0</v>
      </c>
      <c r="AJ41" s="48" t="n">
        <f aca="false">M41*$X41</f>
        <v>0</v>
      </c>
      <c r="AK41" s="48" t="n">
        <f aca="false">N41*$X41</f>
        <v>0</v>
      </c>
      <c r="AL41" s="48" t="n">
        <f aca="false">O41*$X41</f>
        <v>0</v>
      </c>
      <c r="AM41" s="48" t="n">
        <f aca="false">P41*$X41</f>
        <v>0</v>
      </c>
      <c r="AN41" s="48" t="n">
        <f aca="false">Q41*$X41</f>
        <v>0</v>
      </c>
      <c r="AO41" s="48" t="n">
        <f aca="false">R41*$X41</f>
        <v>0</v>
      </c>
      <c r="AP41" s="48" t="n">
        <f aca="false">S41*$X41</f>
        <v>0</v>
      </c>
      <c r="AQ41" s="48" t="n">
        <f aca="false">T41*$X41</f>
        <v>0</v>
      </c>
      <c r="AR41" s="48" t="n">
        <f aca="false">U41*$X41</f>
        <v>0</v>
      </c>
      <c r="AS41" s="48" t="n">
        <f aca="false">V41*$X41</f>
        <v>0</v>
      </c>
      <c r="AT41" s="48" t="n">
        <f aca="false">W41*$X41</f>
        <v>94.53</v>
      </c>
      <c r="AU41" s="48" t="n">
        <f aca="false">X41*$X41</f>
        <v>16.8921</v>
      </c>
      <c r="AV41" s="48" t="n">
        <f aca="false">Y41*$X41</f>
        <v>388.5183</v>
      </c>
      <c r="AW41" s="48" t="n">
        <f aca="false">Z41*$X41</f>
        <v>0</v>
      </c>
      <c r="AX41" s="48" t="n">
        <f aca="false">AA41*$X41</f>
        <v>0</v>
      </c>
      <c r="AY41" s="48" t="n">
        <f aca="false">AB41*$X41</f>
        <v>0</v>
      </c>
      <c r="AZ41" s="48" t="n">
        <f aca="false">AC41*$X41</f>
        <v>0</v>
      </c>
      <c r="BA41" s="1"/>
      <c r="BB41" s="1"/>
      <c r="BC41" s="1"/>
      <c r="BD41" s="1"/>
      <c r="BE41" s="1"/>
      <c r="BF41" s="1"/>
    </row>
    <row r="42" s="48" customFormat="true" ht="15" hidden="false" customHeight="true" outlineLevel="0" collapsed="false">
      <c r="A42" s="42" t="s">
        <v>111</v>
      </c>
      <c r="B42" s="42" t="n">
        <v>0</v>
      </c>
      <c r="C42" s="43"/>
      <c r="D42" s="44"/>
      <c r="E42" s="44"/>
      <c r="F42" s="44"/>
      <c r="G42" s="44"/>
      <c r="H42" s="44" t="n">
        <f aca="false">B42+D42+E42+F42+G42+C42</f>
        <v>0</v>
      </c>
      <c r="I42" s="45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7" t="n">
        <f aca="false">J42+K42+L42+M42+N42+O42+P42+Q42+R42+S42+T42+U42</f>
        <v>0</v>
      </c>
      <c r="W42" s="47" t="n">
        <f aca="false">H42-V42</f>
        <v>0</v>
      </c>
      <c r="X42" s="48" t="n">
        <v>24.3</v>
      </c>
      <c r="Y42" s="48" t="n">
        <f aca="false">B42*$X42</f>
        <v>0</v>
      </c>
      <c r="Z42" s="48" t="n">
        <f aca="false">C42*$X42</f>
        <v>0</v>
      </c>
      <c r="AA42" s="48" t="n">
        <f aca="false">D42*$X42</f>
        <v>0</v>
      </c>
      <c r="AB42" s="48" t="n">
        <f aca="false">E42*$X42</f>
        <v>0</v>
      </c>
      <c r="AC42" s="48" t="n">
        <f aca="false">F42*$X42</f>
        <v>0</v>
      </c>
      <c r="AD42" s="48" t="n">
        <f aca="false">G42*$X42</f>
        <v>0</v>
      </c>
      <c r="AE42" s="48" t="n">
        <f aca="false">H42*$X42</f>
        <v>0</v>
      </c>
      <c r="AF42" s="48" t="n">
        <f aca="false">I42*$X42</f>
        <v>0</v>
      </c>
      <c r="AG42" s="48" t="n">
        <f aca="false">J42*$X42</f>
        <v>0</v>
      </c>
      <c r="AH42" s="48" t="n">
        <f aca="false">K42*$X42</f>
        <v>0</v>
      </c>
      <c r="AI42" s="48" t="n">
        <f aca="false">L42*$X42</f>
        <v>0</v>
      </c>
      <c r="AJ42" s="48" t="n">
        <f aca="false">M42*$X42</f>
        <v>0</v>
      </c>
      <c r="AK42" s="48" t="n">
        <f aca="false">N42*$X42</f>
        <v>0</v>
      </c>
      <c r="AL42" s="48" t="n">
        <f aca="false">O42*$X42</f>
        <v>0</v>
      </c>
      <c r="AM42" s="48" t="n">
        <f aca="false">P42*$X42</f>
        <v>0</v>
      </c>
      <c r="AN42" s="48" t="n">
        <f aca="false">Q42*$X42</f>
        <v>0</v>
      </c>
      <c r="AO42" s="48" t="n">
        <f aca="false">R42*$X42</f>
        <v>0</v>
      </c>
      <c r="AP42" s="48" t="n">
        <f aca="false">S42*$X42</f>
        <v>0</v>
      </c>
      <c r="AQ42" s="48" t="n">
        <f aca="false">T42*$X42</f>
        <v>0</v>
      </c>
      <c r="AR42" s="48" t="n">
        <f aca="false">U42*$X42</f>
        <v>0</v>
      </c>
      <c r="AS42" s="48" t="n">
        <f aca="false">V42*$X42</f>
        <v>0</v>
      </c>
      <c r="AT42" s="48" t="n">
        <f aca="false">W42*$X42</f>
        <v>0</v>
      </c>
      <c r="AU42" s="48" t="n">
        <f aca="false">X42*$X42</f>
        <v>590.49</v>
      </c>
      <c r="AV42" s="48" t="n">
        <f aca="false">Y42*$X42</f>
        <v>0</v>
      </c>
      <c r="AW42" s="48" t="n">
        <f aca="false">Z42*$X42</f>
        <v>0</v>
      </c>
      <c r="AX42" s="48" t="n">
        <f aca="false">AA42*$X42</f>
        <v>0</v>
      </c>
      <c r="AY42" s="48" t="n">
        <f aca="false">AB42*$X42</f>
        <v>0</v>
      </c>
      <c r="AZ42" s="48" t="n">
        <f aca="false">AC42*$X42</f>
        <v>0</v>
      </c>
      <c r="BA42" s="1"/>
      <c r="BB42" s="1"/>
      <c r="BC42" s="1"/>
      <c r="BD42" s="1"/>
      <c r="BE42" s="1"/>
      <c r="BF42" s="1"/>
    </row>
    <row r="43" s="48" customFormat="true" ht="15" hidden="false" customHeight="true" outlineLevel="0" collapsed="false">
      <c r="A43" s="42" t="s">
        <v>112</v>
      </c>
      <c r="B43" s="42" t="n">
        <v>0</v>
      </c>
      <c r="C43" s="43"/>
      <c r="D43" s="44"/>
      <c r="E43" s="44"/>
      <c r="F43" s="44"/>
      <c r="G43" s="44"/>
      <c r="H43" s="44" t="n">
        <f aca="false">B43+D43+E43+F43+G43+C43</f>
        <v>0</v>
      </c>
      <c r="I43" s="45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7" t="n">
        <f aca="false">J43+K43+L43+M43+N43+O43+P43+Q43+R43+S43+T43+U43</f>
        <v>0</v>
      </c>
      <c r="W43" s="47" t="n">
        <f aca="false">H43-V43</f>
        <v>0</v>
      </c>
      <c r="X43" s="48" t="n">
        <v>10.4</v>
      </c>
      <c r="Y43" s="48" t="n">
        <f aca="false">B43*$X43</f>
        <v>0</v>
      </c>
      <c r="Z43" s="48" t="n">
        <f aca="false">C43*$X43</f>
        <v>0</v>
      </c>
      <c r="AA43" s="48" t="n">
        <f aca="false">D43*$X43</f>
        <v>0</v>
      </c>
      <c r="AB43" s="48" t="n">
        <f aca="false">E43*$X43</f>
        <v>0</v>
      </c>
      <c r="AC43" s="48" t="n">
        <f aca="false">F43*$X43</f>
        <v>0</v>
      </c>
      <c r="AD43" s="48" t="n">
        <f aca="false">G43*$X43</f>
        <v>0</v>
      </c>
      <c r="AE43" s="48" t="n">
        <f aca="false">H43*$X43</f>
        <v>0</v>
      </c>
      <c r="AF43" s="48" t="n">
        <f aca="false">I43*$X43</f>
        <v>0</v>
      </c>
      <c r="AG43" s="48" t="n">
        <f aca="false">J43*$X43</f>
        <v>0</v>
      </c>
      <c r="AH43" s="48" t="n">
        <f aca="false">K43*$X43</f>
        <v>0</v>
      </c>
      <c r="AI43" s="48" t="n">
        <f aca="false">L43*$X43</f>
        <v>0</v>
      </c>
      <c r="AJ43" s="48" t="n">
        <f aca="false">M43*$X43</f>
        <v>0</v>
      </c>
      <c r="AK43" s="48" t="n">
        <f aca="false">N43*$X43</f>
        <v>0</v>
      </c>
      <c r="AL43" s="48" t="n">
        <f aca="false">O43*$X43</f>
        <v>0</v>
      </c>
      <c r="AM43" s="48" t="n">
        <f aca="false">P43*$X43</f>
        <v>0</v>
      </c>
      <c r="AN43" s="48" t="n">
        <f aca="false">Q43*$X43</f>
        <v>0</v>
      </c>
      <c r="AO43" s="48" t="n">
        <f aca="false">R43*$X43</f>
        <v>0</v>
      </c>
      <c r="AP43" s="48" t="n">
        <f aca="false">S43*$X43</f>
        <v>0</v>
      </c>
      <c r="AQ43" s="48" t="n">
        <f aca="false">T43*$X43</f>
        <v>0</v>
      </c>
      <c r="AR43" s="48" t="n">
        <f aca="false">U43*$X43</f>
        <v>0</v>
      </c>
      <c r="AS43" s="48" t="n">
        <f aca="false">V43*$X43</f>
        <v>0</v>
      </c>
      <c r="AT43" s="48" t="n">
        <f aca="false">W43*$X43</f>
        <v>0</v>
      </c>
      <c r="AU43" s="48" t="n">
        <f aca="false">X43*$X43</f>
        <v>108.16</v>
      </c>
      <c r="AV43" s="48" t="n">
        <f aca="false">Y43*$X43</f>
        <v>0</v>
      </c>
      <c r="AW43" s="48" t="n">
        <f aca="false">Z43*$X43</f>
        <v>0</v>
      </c>
      <c r="AX43" s="48" t="n">
        <f aca="false">AA43*$X43</f>
        <v>0</v>
      </c>
      <c r="AY43" s="48" t="n">
        <f aca="false">AB43*$X43</f>
        <v>0</v>
      </c>
      <c r="AZ43" s="48" t="n">
        <f aca="false">AC43*$X43</f>
        <v>0</v>
      </c>
      <c r="BA43" s="1"/>
      <c r="BB43" s="1"/>
      <c r="BC43" s="1"/>
      <c r="BD43" s="1"/>
      <c r="BE43" s="1"/>
      <c r="BF43" s="1"/>
    </row>
    <row r="44" s="48" customFormat="true" ht="15" hidden="false" customHeight="true" outlineLevel="0" collapsed="false">
      <c r="A44" s="42" t="s">
        <v>113</v>
      </c>
      <c r="B44" s="42" t="n">
        <v>9</v>
      </c>
      <c r="C44" s="43"/>
      <c r="D44" s="44"/>
      <c r="E44" s="44"/>
      <c r="F44" s="44"/>
      <c r="G44" s="44"/>
      <c r="H44" s="44" t="n">
        <f aca="false">B44+D44+E44+F44+G44+C44</f>
        <v>9</v>
      </c>
      <c r="I44" s="45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7" t="n">
        <f aca="false">J44+K44+L44+M44+N44+O44+P44+Q44+R44+S44+T44+U44</f>
        <v>0</v>
      </c>
      <c r="W44" s="47" t="n">
        <f aca="false">H44-V44</f>
        <v>9</v>
      </c>
      <c r="X44" s="48" t="n">
        <v>6.87</v>
      </c>
      <c r="Y44" s="48" t="n">
        <f aca="false">B44*$X44</f>
        <v>61.83</v>
      </c>
      <c r="Z44" s="48" t="n">
        <f aca="false">C44*$X44</f>
        <v>0</v>
      </c>
      <c r="AA44" s="48" t="n">
        <f aca="false">D44*$X44</f>
        <v>0</v>
      </c>
      <c r="AB44" s="48" t="n">
        <f aca="false">E44*$X44</f>
        <v>0</v>
      </c>
      <c r="AC44" s="48" t="n">
        <f aca="false">F44*$X44</f>
        <v>0</v>
      </c>
      <c r="AD44" s="48" t="n">
        <f aca="false">G44*$X44</f>
        <v>0</v>
      </c>
      <c r="AE44" s="48" t="n">
        <f aca="false">H44*$X44</f>
        <v>61.83</v>
      </c>
      <c r="AF44" s="48" t="n">
        <f aca="false">I44*$X44</f>
        <v>0</v>
      </c>
      <c r="AG44" s="48" t="n">
        <f aca="false">J44*$X44</f>
        <v>0</v>
      </c>
      <c r="AH44" s="48" t="n">
        <f aca="false">K44*$X44</f>
        <v>0</v>
      </c>
      <c r="AI44" s="48" t="n">
        <f aca="false">L44*$X44</f>
        <v>0</v>
      </c>
      <c r="AJ44" s="48" t="n">
        <f aca="false">M44*$X44</f>
        <v>0</v>
      </c>
      <c r="AK44" s="48" t="n">
        <f aca="false">N44*$X44</f>
        <v>0</v>
      </c>
      <c r="AL44" s="48" t="n">
        <f aca="false">O44*$X44</f>
        <v>0</v>
      </c>
      <c r="AM44" s="48" t="n">
        <f aca="false">P44*$X44</f>
        <v>0</v>
      </c>
      <c r="AN44" s="48" t="n">
        <f aca="false">Q44*$X44</f>
        <v>0</v>
      </c>
      <c r="AO44" s="48" t="n">
        <f aca="false">R44*$X44</f>
        <v>0</v>
      </c>
      <c r="AP44" s="48" t="n">
        <f aca="false">S44*$X44</f>
        <v>0</v>
      </c>
      <c r="AQ44" s="48" t="n">
        <f aca="false">T44*$X44</f>
        <v>0</v>
      </c>
      <c r="AR44" s="48" t="n">
        <f aca="false">U44*$X44</f>
        <v>0</v>
      </c>
      <c r="AS44" s="48" t="n">
        <f aca="false">V44*$X44</f>
        <v>0</v>
      </c>
      <c r="AT44" s="48" t="n">
        <f aca="false">W44*$X44</f>
        <v>61.83</v>
      </c>
      <c r="AU44" s="48" t="n">
        <f aca="false">X44*$X44</f>
        <v>47.1969</v>
      </c>
      <c r="AV44" s="48" t="n">
        <f aca="false">Y44*$X44</f>
        <v>424.7721</v>
      </c>
      <c r="AW44" s="48" t="n">
        <f aca="false">Z44*$X44</f>
        <v>0</v>
      </c>
      <c r="AX44" s="48" t="n">
        <f aca="false">AA44*$X44</f>
        <v>0</v>
      </c>
      <c r="AY44" s="48" t="n">
        <f aca="false">AB44*$X44</f>
        <v>0</v>
      </c>
      <c r="AZ44" s="48" t="n">
        <f aca="false">AC44*$X44</f>
        <v>0</v>
      </c>
      <c r="BA44" s="1"/>
      <c r="BB44" s="1"/>
      <c r="BC44" s="1"/>
      <c r="BD44" s="1"/>
      <c r="BE44" s="1"/>
      <c r="BF44" s="1"/>
    </row>
    <row r="45" s="48" customFormat="true" ht="15" hidden="false" customHeight="true" outlineLevel="0" collapsed="false">
      <c r="A45" s="42" t="s">
        <v>114</v>
      </c>
      <c r="B45" s="42" t="n">
        <v>0</v>
      </c>
      <c r="C45" s="43"/>
      <c r="D45" s="44"/>
      <c r="E45" s="44"/>
      <c r="F45" s="44"/>
      <c r="G45" s="44"/>
      <c r="H45" s="44" t="n">
        <f aca="false">B45+D45+E45+F45+G45+C45</f>
        <v>0</v>
      </c>
      <c r="I45" s="45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7" t="n">
        <f aca="false">J45+K45+L45+M45+N45+O45+P45+Q45+R45+S45+T45+U45</f>
        <v>0</v>
      </c>
      <c r="W45" s="47" t="n">
        <f aca="false">H45-V45</f>
        <v>0</v>
      </c>
      <c r="X45" s="48" t="n">
        <v>6.96</v>
      </c>
      <c r="Y45" s="48" t="n">
        <f aca="false">B45*$X45</f>
        <v>0</v>
      </c>
      <c r="Z45" s="48" t="n">
        <f aca="false">C45*$X45</f>
        <v>0</v>
      </c>
      <c r="AA45" s="48" t="n">
        <f aca="false">D45*$X45</f>
        <v>0</v>
      </c>
      <c r="AB45" s="48" t="n">
        <f aca="false">E45*$X45</f>
        <v>0</v>
      </c>
      <c r="AC45" s="48" t="n">
        <f aca="false">F45*$X45</f>
        <v>0</v>
      </c>
      <c r="AD45" s="48" t="n">
        <f aca="false">G45*$X45</f>
        <v>0</v>
      </c>
      <c r="AE45" s="48" t="n">
        <f aca="false">H45*$X45</f>
        <v>0</v>
      </c>
      <c r="AF45" s="48" t="n">
        <f aca="false">I45*$X45</f>
        <v>0</v>
      </c>
      <c r="AG45" s="48" t="n">
        <f aca="false">J45*$X45</f>
        <v>0</v>
      </c>
      <c r="AH45" s="48" t="n">
        <f aca="false">K45*$X45</f>
        <v>0</v>
      </c>
      <c r="AI45" s="48" t="n">
        <f aca="false">L45*$X45</f>
        <v>0</v>
      </c>
      <c r="AJ45" s="48" t="n">
        <f aca="false">M45*$X45</f>
        <v>0</v>
      </c>
      <c r="AK45" s="48" t="n">
        <f aca="false">N45*$X45</f>
        <v>0</v>
      </c>
      <c r="AL45" s="48" t="n">
        <f aca="false">O45*$X45</f>
        <v>0</v>
      </c>
      <c r="AM45" s="48" t="n">
        <f aca="false">P45*$X45</f>
        <v>0</v>
      </c>
      <c r="AN45" s="48" t="n">
        <f aca="false">Q45*$X45</f>
        <v>0</v>
      </c>
      <c r="AO45" s="48" t="n">
        <f aca="false">R45*$X45</f>
        <v>0</v>
      </c>
      <c r="AP45" s="48" t="n">
        <f aca="false">S45*$X45</f>
        <v>0</v>
      </c>
      <c r="AQ45" s="48" t="n">
        <f aca="false">T45*$X45</f>
        <v>0</v>
      </c>
      <c r="AR45" s="48" t="n">
        <f aca="false">U45*$X45</f>
        <v>0</v>
      </c>
      <c r="AS45" s="48" t="n">
        <f aca="false">V45*$X45</f>
        <v>0</v>
      </c>
      <c r="AT45" s="48" t="n">
        <f aca="false">W45*$X45</f>
        <v>0</v>
      </c>
      <c r="AU45" s="48" t="n">
        <f aca="false">X45*$X45</f>
        <v>48.4416</v>
      </c>
      <c r="AV45" s="48" t="n">
        <f aca="false">Y45*$X45</f>
        <v>0</v>
      </c>
      <c r="AW45" s="48" t="n">
        <f aca="false">Z45*$X45</f>
        <v>0</v>
      </c>
      <c r="AX45" s="48" t="n">
        <f aca="false">AA45*$X45</f>
        <v>0</v>
      </c>
      <c r="AY45" s="48" t="n">
        <f aca="false">AB45*$X45</f>
        <v>0</v>
      </c>
      <c r="AZ45" s="48" t="n">
        <f aca="false">AC45*$X45</f>
        <v>0</v>
      </c>
      <c r="BA45" s="1"/>
      <c r="BB45" s="1"/>
      <c r="BC45" s="1"/>
      <c r="BD45" s="1"/>
      <c r="BE45" s="1"/>
      <c r="BF45" s="1"/>
    </row>
    <row r="46" s="48" customFormat="true" ht="15" hidden="false" customHeight="true" outlineLevel="0" collapsed="false">
      <c r="A46" s="42" t="s">
        <v>115</v>
      </c>
      <c r="B46" s="42" t="n">
        <v>26</v>
      </c>
      <c r="C46" s="43"/>
      <c r="D46" s="44" t="n">
        <v>12</v>
      </c>
      <c r="E46" s="44"/>
      <c r="F46" s="44"/>
      <c r="G46" s="44"/>
      <c r="H46" s="44" t="n">
        <f aca="false">B46+D46+E46+F46+G46+C46</f>
        <v>38</v>
      </c>
      <c r="I46" s="45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7" t="n">
        <f aca="false">J46+K46+L46+M46+N46+O46+P46+Q46+R46+S46+T46+U46</f>
        <v>0</v>
      </c>
      <c r="W46" s="47" t="n">
        <f aca="false">H46-V46</f>
        <v>38</v>
      </c>
      <c r="X46" s="48" t="n">
        <v>7.94</v>
      </c>
      <c r="Y46" s="48" t="n">
        <f aca="false">B46*$X46</f>
        <v>206.44</v>
      </c>
      <c r="Z46" s="48" t="n">
        <f aca="false">C46*$X46</f>
        <v>0</v>
      </c>
      <c r="AA46" s="48" t="n">
        <f aca="false">D46*$X46</f>
        <v>95.28</v>
      </c>
      <c r="AB46" s="48" t="n">
        <f aca="false">E46*$X46</f>
        <v>0</v>
      </c>
      <c r="AC46" s="48" t="n">
        <f aca="false">F46*$X46</f>
        <v>0</v>
      </c>
      <c r="AD46" s="48" t="n">
        <f aca="false">G46*$X46</f>
        <v>0</v>
      </c>
      <c r="AE46" s="48" t="n">
        <f aca="false">H46*$X46</f>
        <v>301.72</v>
      </c>
      <c r="AF46" s="48" t="n">
        <f aca="false">I46*$X46</f>
        <v>0</v>
      </c>
      <c r="AG46" s="48" t="n">
        <f aca="false">J46*$X46</f>
        <v>0</v>
      </c>
      <c r="AH46" s="48" t="n">
        <f aca="false">K46*$X46</f>
        <v>0</v>
      </c>
      <c r="AI46" s="48" t="n">
        <f aca="false">L46*$X46</f>
        <v>0</v>
      </c>
      <c r="AJ46" s="48" t="n">
        <f aca="false">M46*$X46</f>
        <v>0</v>
      </c>
      <c r="AK46" s="48" t="n">
        <f aca="false">N46*$X46</f>
        <v>0</v>
      </c>
      <c r="AL46" s="48" t="n">
        <f aca="false">O46*$X46</f>
        <v>0</v>
      </c>
      <c r="AM46" s="48" t="n">
        <f aca="false">P46*$X46</f>
        <v>0</v>
      </c>
      <c r="AN46" s="48" t="n">
        <f aca="false">Q46*$X46</f>
        <v>0</v>
      </c>
      <c r="AO46" s="48" t="n">
        <f aca="false">R46*$X46</f>
        <v>0</v>
      </c>
      <c r="AP46" s="48" t="n">
        <f aca="false">S46*$X46</f>
        <v>0</v>
      </c>
      <c r="AQ46" s="48" t="n">
        <f aca="false">T46*$X46</f>
        <v>0</v>
      </c>
      <c r="AR46" s="48" t="n">
        <f aca="false">U46*$X46</f>
        <v>0</v>
      </c>
      <c r="AS46" s="48" t="n">
        <f aca="false">V46*$X46</f>
        <v>0</v>
      </c>
      <c r="AT46" s="48" t="n">
        <f aca="false">W46*$X46</f>
        <v>301.72</v>
      </c>
      <c r="AU46" s="48" t="n">
        <f aca="false">X46*$X46</f>
        <v>63.0436</v>
      </c>
      <c r="AV46" s="48" t="n">
        <f aca="false">Y46*$X46</f>
        <v>1639.1336</v>
      </c>
      <c r="AW46" s="48" t="n">
        <f aca="false">Z46*$X46</f>
        <v>0</v>
      </c>
      <c r="AX46" s="48" t="n">
        <f aca="false">AA46*$X46</f>
        <v>756.5232</v>
      </c>
      <c r="AY46" s="48" t="n">
        <f aca="false">AB46*$X46</f>
        <v>0</v>
      </c>
      <c r="AZ46" s="48" t="n">
        <f aca="false">AC46*$X46</f>
        <v>0</v>
      </c>
      <c r="BA46" s="1"/>
      <c r="BB46" s="1"/>
      <c r="BC46" s="1"/>
      <c r="BD46" s="1"/>
      <c r="BE46" s="1"/>
      <c r="BF46" s="1"/>
    </row>
    <row r="47" s="48" customFormat="true" ht="15" hidden="false" customHeight="true" outlineLevel="0" collapsed="false">
      <c r="A47" s="42" t="s">
        <v>116</v>
      </c>
      <c r="B47" s="42" t="n">
        <v>0</v>
      </c>
      <c r="C47" s="43"/>
      <c r="D47" s="44"/>
      <c r="E47" s="44"/>
      <c r="F47" s="44"/>
      <c r="G47" s="44"/>
      <c r="H47" s="44" t="n">
        <f aca="false">B47+D47+E47+F47+G47+C47</f>
        <v>0</v>
      </c>
      <c r="I47" s="45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7" t="n">
        <f aca="false">J47+K47+L47+M47+N47+O47+P47+Q47+R47+S47+T47+U47</f>
        <v>0</v>
      </c>
      <c r="W47" s="47" t="n">
        <f aca="false">H47-V47</f>
        <v>0</v>
      </c>
      <c r="X47" s="48" t="n">
        <v>9.07</v>
      </c>
      <c r="Y47" s="48" t="n">
        <f aca="false">B47*$X47</f>
        <v>0</v>
      </c>
      <c r="Z47" s="48" t="n">
        <f aca="false">C47*$X47</f>
        <v>0</v>
      </c>
      <c r="AA47" s="48" t="n">
        <f aca="false">D47*$X47</f>
        <v>0</v>
      </c>
      <c r="AB47" s="48" t="n">
        <f aca="false">E47*$X47</f>
        <v>0</v>
      </c>
      <c r="AC47" s="48" t="n">
        <f aca="false">F47*$X47</f>
        <v>0</v>
      </c>
      <c r="AD47" s="48" t="n">
        <f aca="false">G47*$X47</f>
        <v>0</v>
      </c>
      <c r="AE47" s="48" t="n">
        <f aca="false">H47*$X47</f>
        <v>0</v>
      </c>
      <c r="AF47" s="48" t="n">
        <f aca="false">I47*$X47</f>
        <v>0</v>
      </c>
      <c r="AG47" s="48" t="n">
        <f aca="false">J47*$X47</f>
        <v>0</v>
      </c>
      <c r="AH47" s="48" t="n">
        <f aca="false">K47*$X47</f>
        <v>0</v>
      </c>
      <c r="AI47" s="48" t="n">
        <f aca="false">L47*$X47</f>
        <v>0</v>
      </c>
      <c r="AJ47" s="48" t="n">
        <f aca="false">M47*$X47</f>
        <v>0</v>
      </c>
      <c r="AK47" s="48" t="n">
        <f aca="false">N47*$X47</f>
        <v>0</v>
      </c>
      <c r="AL47" s="48" t="n">
        <f aca="false">O47*$X47</f>
        <v>0</v>
      </c>
      <c r="AM47" s="48" t="n">
        <f aca="false">P47*$X47</f>
        <v>0</v>
      </c>
      <c r="AN47" s="48" t="n">
        <f aca="false">Q47*$X47</f>
        <v>0</v>
      </c>
      <c r="AO47" s="48" t="n">
        <f aca="false">R47*$X47</f>
        <v>0</v>
      </c>
      <c r="AP47" s="48" t="n">
        <f aca="false">S47*$X47</f>
        <v>0</v>
      </c>
      <c r="AQ47" s="48" t="n">
        <f aca="false">T47*$X47</f>
        <v>0</v>
      </c>
      <c r="AR47" s="48" t="n">
        <f aca="false">U47*$X47</f>
        <v>0</v>
      </c>
      <c r="AS47" s="48" t="n">
        <f aca="false">V47*$X47</f>
        <v>0</v>
      </c>
      <c r="AT47" s="48" t="n">
        <f aca="false">W47*$X47</f>
        <v>0</v>
      </c>
      <c r="AU47" s="48" t="n">
        <f aca="false">X47*$X47</f>
        <v>82.2649</v>
      </c>
      <c r="AV47" s="48" t="n">
        <f aca="false">Y47*$X47</f>
        <v>0</v>
      </c>
      <c r="AW47" s="48" t="n">
        <f aca="false">Z47*$X47</f>
        <v>0</v>
      </c>
      <c r="AX47" s="48" t="n">
        <f aca="false">AA47*$X47</f>
        <v>0</v>
      </c>
      <c r="AY47" s="48" t="n">
        <f aca="false">AB47*$X47</f>
        <v>0</v>
      </c>
      <c r="AZ47" s="48" t="n">
        <f aca="false">AC47*$X47</f>
        <v>0</v>
      </c>
      <c r="BA47" s="1"/>
      <c r="BB47" s="1"/>
      <c r="BC47" s="1"/>
      <c r="BD47" s="1"/>
      <c r="BE47" s="1"/>
      <c r="BF47" s="1"/>
    </row>
    <row r="48" s="48" customFormat="true" ht="15" hidden="false" customHeight="true" outlineLevel="0" collapsed="false">
      <c r="A48" s="42" t="s">
        <v>117</v>
      </c>
      <c r="B48" s="42" t="n">
        <v>0</v>
      </c>
      <c r="C48" s="43"/>
      <c r="D48" s="44"/>
      <c r="E48" s="44"/>
      <c r="F48" s="44"/>
      <c r="G48" s="44"/>
      <c r="H48" s="44" t="n">
        <f aca="false">B48+D48+E48+F48+G48+C48</f>
        <v>0</v>
      </c>
      <c r="I48" s="45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7" t="n">
        <f aca="false">J48+K48+L48+M48+N48+O48+P48+Q48+R48+S48+T48+U48</f>
        <v>0</v>
      </c>
      <c r="W48" s="47" t="n">
        <f aca="false">H48-V48</f>
        <v>0</v>
      </c>
      <c r="X48" s="48" t="n">
        <v>0</v>
      </c>
      <c r="Y48" s="48" t="n">
        <f aca="false">B48*$X48</f>
        <v>0</v>
      </c>
      <c r="Z48" s="48" t="n">
        <f aca="false">C48*$X48</f>
        <v>0</v>
      </c>
      <c r="AA48" s="48" t="n">
        <f aca="false">D48*$X48</f>
        <v>0</v>
      </c>
      <c r="AB48" s="48" t="n">
        <f aca="false">E48*$X48</f>
        <v>0</v>
      </c>
      <c r="AC48" s="48" t="n">
        <f aca="false">F48*$X48</f>
        <v>0</v>
      </c>
      <c r="AD48" s="48" t="n">
        <f aca="false">G48*$X48</f>
        <v>0</v>
      </c>
      <c r="AE48" s="48" t="n">
        <f aca="false">H48*$X48</f>
        <v>0</v>
      </c>
      <c r="AF48" s="48" t="n">
        <f aca="false">I48*$X48</f>
        <v>0</v>
      </c>
      <c r="AG48" s="48" t="n">
        <f aca="false">J48*$X48</f>
        <v>0</v>
      </c>
      <c r="AH48" s="48" t="n">
        <f aca="false">K48*$X48</f>
        <v>0</v>
      </c>
      <c r="AI48" s="48" t="n">
        <f aca="false">L48*$X48</f>
        <v>0</v>
      </c>
      <c r="AJ48" s="48" t="n">
        <f aca="false">M48*$X48</f>
        <v>0</v>
      </c>
      <c r="AK48" s="48" t="n">
        <f aca="false">N48*$X48</f>
        <v>0</v>
      </c>
      <c r="AL48" s="48" t="n">
        <f aca="false">O48*$X48</f>
        <v>0</v>
      </c>
      <c r="AM48" s="48" t="n">
        <f aca="false">P48*$X48</f>
        <v>0</v>
      </c>
      <c r="AN48" s="48" t="n">
        <f aca="false">Q48*$X48</f>
        <v>0</v>
      </c>
      <c r="AO48" s="48" t="n">
        <f aca="false">R48*$X48</f>
        <v>0</v>
      </c>
      <c r="AP48" s="48" t="n">
        <f aca="false">S48*$X48</f>
        <v>0</v>
      </c>
      <c r="AQ48" s="48" t="n">
        <f aca="false">T48*$X48</f>
        <v>0</v>
      </c>
      <c r="AR48" s="48" t="n">
        <f aca="false">U48*$X48</f>
        <v>0</v>
      </c>
      <c r="AS48" s="48" t="n">
        <f aca="false">V48*$X48</f>
        <v>0</v>
      </c>
      <c r="AT48" s="48" t="n">
        <f aca="false">W48*$X48</f>
        <v>0</v>
      </c>
      <c r="AU48" s="48" t="n">
        <f aca="false">X48*$X48</f>
        <v>0</v>
      </c>
      <c r="AV48" s="48" t="n">
        <f aca="false">Y48*$X48</f>
        <v>0</v>
      </c>
      <c r="AW48" s="48" t="n">
        <f aca="false">Z48*$X48</f>
        <v>0</v>
      </c>
      <c r="AX48" s="48" t="n">
        <f aca="false">AA48*$X48</f>
        <v>0</v>
      </c>
      <c r="AY48" s="48" t="n">
        <f aca="false">AB48*$X48</f>
        <v>0</v>
      </c>
      <c r="AZ48" s="48" t="n">
        <f aca="false">AC48*$X48</f>
        <v>0</v>
      </c>
      <c r="BA48" s="1"/>
      <c r="BB48" s="1"/>
      <c r="BC48" s="1"/>
      <c r="BD48" s="1"/>
      <c r="BE48" s="1"/>
      <c r="BF48" s="1"/>
    </row>
    <row r="49" s="48" customFormat="true" ht="15" hidden="false" customHeight="true" outlineLevel="0" collapsed="false">
      <c r="A49" s="42" t="s">
        <v>118</v>
      </c>
      <c r="B49" s="42" t="n">
        <v>59</v>
      </c>
      <c r="C49" s="43"/>
      <c r="D49" s="44"/>
      <c r="E49" s="44"/>
      <c r="F49" s="44"/>
      <c r="G49" s="44"/>
      <c r="H49" s="44" t="n">
        <f aca="false">B49+D49+E49+F49+G49+C49</f>
        <v>59</v>
      </c>
      <c r="I49" s="45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7" t="n">
        <f aca="false">J49+K49+L49+M49+N49+O49+P49+Q49+R49+S49+T49+U49</f>
        <v>0</v>
      </c>
      <c r="W49" s="47" t="n">
        <f aca="false">H49-V49</f>
        <v>59</v>
      </c>
      <c r="X49" s="48" t="n">
        <v>3.5</v>
      </c>
      <c r="Y49" s="48" t="n">
        <f aca="false">B49*$X49</f>
        <v>206.5</v>
      </c>
      <c r="Z49" s="48" t="n">
        <f aca="false">C49*$X49</f>
        <v>0</v>
      </c>
      <c r="AA49" s="48" t="n">
        <f aca="false">D49*$X49</f>
        <v>0</v>
      </c>
      <c r="AB49" s="48" t="n">
        <f aca="false">E49*$X49</f>
        <v>0</v>
      </c>
      <c r="AC49" s="48" t="n">
        <f aca="false">F49*$X49</f>
        <v>0</v>
      </c>
      <c r="AD49" s="48" t="n">
        <f aca="false">G49*$X49</f>
        <v>0</v>
      </c>
      <c r="AE49" s="48" t="n">
        <f aca="false">H49*$X49</f>
        <v>206.5</v>
      </c>
      <c r="AF49" s="48" t="n">
        <f aca="false">I49*$X49</f>
        <v>0</v>
      </c>
      <c r="AG49" s="48" t="n">
        <f aca="false">J49*$X49</f>
        <v>0</v>
      </c>
      <c r="AH49" s="48" t="n">
        <f aca="false">K49*$X49</f>
        <v>0</v>
      </c>
      <c r="AI49" s="48" t="n">
        <f aca="false">L49*$X49</f>
        <v>0</v>
      </c>
      <c r="AJ49" s="48" t="n">
        <f aca="false">M49*$X49</f>
        <v>0</v>
      </c>
      <c r="AK49" s="48" t="n">
        <f aca="false">N49*$X49</f>
        <v>0</v>
      </c>
      <c r="AL49" s="48" t="n">
        <f aca="false">O49*$X49</f>
        <v>0</v>
      </c>
      <c r="AM49" s="48" t="n">
        <f aca="false">P49*$X49</f>
        <v>0</v>
      </c>
      <c r="AN49" s="48" t="n">
        <f aca="false">Q49*$X49</f>
        <v>0</v>
      </c>
      <c r="AO49" s="48" t="n">
        <f aca="false">R49*$X49</f>
        <v>0</v>
      </c>
      <c r="AP49" s="48" t="n">
        <f aca="false">S49*$X49</f>
        <v>0</v>
      </c>
      <c r="AQ49" s="48" t="n">
        <f aca="false">T49*$X49</f>
        <v>0</v>
      </c>
      <c r="AR49" s="48" t="n">
        <f aca="false">U49*$X49</f>
        <v>0</v>
      </c>
      <c r="AS49" s="48" t="n">
        <f aca="false">V49*$X49</f>
        <v>0</v>
      </c>
      <c r="AT49" s="48" t="n">
        <f aca="false">W49*$X49</f>
        <v>206.5</v>
      </c>
      <c r="AU49" s="48" t="n">
        <f aca="false">X49*$X49</f>
        <v>12.25</v>
      </c>
      <c r="AV49" s="48" t="n">
        <f aca="false">Y49*$X49</f>
        <v>722.75</v>
      </c>
      <c r="AW49" s="48" t="n">
        <f aca="false">Z49*$X49</f>
        <v>0</v>
      </c>
      <c r="AX49" s="48" t="n">
        <f aca="false">AA49*$X49</f>
        <v>0</v>
      </c>
      <c r="AY49" s="48" t="n">
        <f aca="false">AB49*$X49</f>
        <v>0</v>
      </c>
      <c r="AZ49" s="48" t="n">
        <f aca="false">AC49*$X49</f>
        <v>0</v>
      </c>
      <c r="BA49" s="1"/>
      <c r="BB49" s="1"/>
      <c r="BC49" s="1"/>
      <c r="BD49" s="1"/>
      <c r="BE49" s="1"/>
      <c r="BF49" s="1"/>
    </row>
    <row r="50" s="48" customFormat="true" ht="15" hidden="false" customHeight="true" outlineLevel="0" collapsed="false">
      <c r="A50" s="42" t="s">
        <v>119</v>
      </c>
      <c r="B50" s="42" t="n">
        <v>124</v>
      </c>
      <c r="C50" s="43"/>
      <c r="D50" s="44"/>
      <c r="E50" s="44" t="n">
        <v>57</v>
      </c>
      <c r="F50" s="44"/>
      <c r="G50" s="44"/>
      <c r="H50" s="44" t="n">
        <f aca="false">B50+D50+E50+F50+G50+C50</f>
        <v>181</v>
      </c>
      <c r="I50" s="45"/>
      <c r="J50" s="49"/>
      <c r="K50" s="49"/>
      <c r="L50" s="49"/>
      <c r="M50" s="49"/>
      <c r="N50" s="49" t="n">
        <v>136</v>
      </c>
      <c r="O50" s="49"/>
      <c r="P50" s="49"/>
      <c r="Q50" s="49"/>
      <c r="R50" s="49"/>
      <c r="S50" s="49"/>
      <c r="T50" s="49"/>
      <c r="U50" s="49" t="n">
        <v>22</v>
      </c>
      <c r="V50" s="47" t="n">
        <f aca="false">J50+K50+L50+M50+N50+O50+P50+Q50+R50+S50+T50+U50</f>
        <v>158</v>
      </c>
      <c r="W50" s="47" t="n">
        <f aca="false">H50-V50</f>
        <v>23</v>
      </c>
      <c r="X50" s="48" t="n">
        <v>2.66</v>
      </c>
      <c r="Y50" s="48" t="n">
        <f aca="false">B50*$X50</f>
        <v>329.84</v>
      </c>
      <c r="Z50" s="48" t="n">
        <f aca="false">C50*$X50</f>
        <v>0</v>
      </c>
      <c r="AA50" s="48" t="n">
        <f aca="false">D50*$X50</f>
        <v>0</v>
      </c>
      <c r="AB50" s="48" t="n">
        <f aca="false">E50*$X50</f>
        <v>151.62</v>
      </c>
      <c r="AC50" s="48" t="n">
        <f aca="false">F50*$X50</f>
        <v>0</v>
      </c>
      <c r="AD50" s="48" t="n">
        <f aca="false">G50*$X50</f>
        <v>0</v>
      </c>
      <c r="AE50" s="48" t="n">
        <f aca="false">H50*$X50</f>
        <v>481.46</v>
      </c>
      <c r="AF50" s="48" t="n">
        <f aca="false">I50*$X50</f>
        <v>0</v>
      </c>
      <c r="AG50" s="48" t="n">
        <f aca="false">J50*$X50</f>
        <v>0</v>
      </c>
      <c r="AH50" s="48" t="n">
        <f aca="false">K50*$X50</f>
        <v>0</v>
      </c>
      <c r="AI50" s="48" t="n">
        <f aca="false">L50*$X50</f>
        <v>0</v>
      </c>
      <c r="AJ50" s="48" t="n">
        <f aca="false">M50*$X50</f>
        <v>0</v>
      </c>
      <c r="AK50" s="48" t="n">
        <f aca="false">N50*$X50</f>
        <v>361.76</v>
      </c>
      <c r="AL50" s="48" t="n">
        <f aca="false">O50*$X50</f>
        <v>0</v>
      </c>
      <c r="AM50" s="48" t="n">
        <f aca="false">P50*$X50</f>
        <v>0</v>
      </c>
      <c r="AN50" s="48" t="n">
        <f aca="false">Q50*$X50</f>
        <v>0</v>
      </c>
      <c r="AO50" s="48" t="n">
        <f aca="false">R50*$X50</f>
        <v>0</v>
      </c>
      <c r="AP50" s="48" t="n">
        <f aca="false">S50*$X50</f>
        <v>0</v>
      </c>
      <c r="AQ50" s="48" t="n">
        <f aca="false">T50*$X50</f>
        <v>0</v>
      </c>
      <c r="AR50" s="48" t="n">
        <f aca="false">U50*$X50</f>
        <v>58.52</v>
      </c>
      <c r="AS50" s="48" t="n">
        <f aca="false">V50*$X50</f>
        <v>420.28</v>
      </c>
      <c r="AT50" s="48" t="n">
        <f aca="false">W50*$X50</f>
        <v>61.18</v>
      </c>
      <c r="AU50" s="48" t="n">
        <f aca="false">X50*$X50</f>
        <v>7.0756</v>
      </c>
      <c r="AV50" s="48" t="n">
        <f aca="false">Y50*$X50</f>
        <v>877.3744</v>
      </c>
      <c r="AW50" s="48" t="n">
        <f aca="false">Z50*$X50</f>
        <v>0</v>
      </c>
      <c r="AX50" s="48" t="n">
        <f aca="false">AA50*$X50</f>
        <v>0</v>
      </c>
      <c r="AY50" s="48" t="n">
        <f aca="false">AB50*$X50</f>
        <v>403.3092</v>
      </c>
      <c r="AZ50" s="48" t="n">
        <f aca="false">AC50*$X50</f>
        <v>0</v>
      </c>
      <c r="BA50" s="1"/>
      <c r="BB50" s="1"/>
      <c r="BC50" s="1"/>
      <c r="BD50" s="1"/>
      <c r="BE50" s="1"/>
      <c r="BF50" s="1"/>
    </row>
    <row r="51" s="48" customFormat="true" ht="15" hidden="false" customHeight="true" outlineLevel="0" collapsed="false">
      <c r="A51" s="42" t="s">
        <v>120</v>
      </c>
      <c r="B51" s="42" t="n">
        <v>3</v>
      </c>
      <c r="C51" s="43"/>
      <c r="D51" s="44"/>
      <c r="E51" s="44"/>
      <c r="F51" s="44"/>
      <c r="G51" s="44"/>
      <c r="H51" s="44" t="n">
        <f aca="false">B51+D51+E51+F51+G51+C51</f>
        <v>3</v>
      </c>
      <c r="I51" s="45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7" t="n">
        <f aca="false">J51+K51+L51+M51+N51+O51+P51+Q51+R51+S51+T51+U51</f>
        <v>0</v>
      </c>
      <c r="W51" s="47" t="n">
        <f aca="false">H51-V51</f>
        <v>3</v>
      </c>
      <c r="X51" s="48" t="n">
        <v>4.03</v>
      </c>
      <c r="Y51" s="48" t="n">
        <f aca="false">B51*$X51</f>
        <v>12.09</v>
      </c>
      <c r="Z51" s="48" t="n">
        <f aca="false">C51*$X51</f>
        <v>0</v>
      </c>
      <c r="AA51" s="48" t="n">
        <f aca="false">D51*$X51</f>
        <v>0</v>
      </c>
      <c r="AB51" s="48" t="n">
        <f aca="false">E51*$X51</f>
        <v>0</v>
      </c>
      <c r="AC51" s="48" t="n">
        <f aca="false">F51*$X51</f>
        <v>0</v>
      </c>
      <c r="AD51" s="48" t="n">
        <f aca="false">G51*$X51</f>
        <v>0</v>
      </c>
      <c r="AE51" s="48" t="n">
        <f aca="false">H51*$X51</f>
        <v>12.09</v>
      </c>
      <c r="AF51" s="48" t="n">
        <f aca="false">I51*$X51</f>
        <v>0</v>
      </c>
      <c r="AG51" s="48" t="n">
        <f aca="false">J51*$X51</f>
        <v>0</v>
      </c>
      <c r="AH51" s="48" t="n">
        <f aca="false">K51*$X51</f>
        <v>0</v>
      </c>
      <c r="AI51" s="48" t="n">
        <f aca="false">L51*$X51</f>
        <v>0</v>
      </c>
      <c r="AJ51" s="48" t="n">
        <f aca="false">M51*$X51</f>
        <v>0</v>
      </c>
      <c r="AK51" s="48" t="n">
        <f aca="false">N51*$X51</f>
        <v>0</v>
      </c>
      <c r="AL51" s="48" t="n">
        <f aca="false">O51*$X51</f>
        <v>0</v>
      </c>
      <c r="AM51" s="48" t="n">
        <f aca="false">P51*$X51</f>
        <v>0</v>
      </c>
      <c r="AN51" s="48" t="n">
        <f aca="false">Q51*$X51</f>
        <v>0</v>
      </c>
      <c r="AO51" s="48" t="n">
        <f aca="false">R51*$X51</f>
        <v>0</v>
      </c>
      <c r="AP51" s="48" t="n">
        <f aca="false">S51*$X51</f>
        <v>0</v>
      </c>
      <c r="AQ51" s="48" t="n">
        <f aca="false">T51*$X51</f>
        <v>0</v>
      </c>
      <c r="AR51" s="48" t="n">
        <f aca="false">U51*$X51</f>
        <v>0</v>
      </c>
      <c r="AS51" s="48" t="n">
        <f aca="false">V51*$X51</f>
        <v>0</v>
      </c>
      <c r="AT51" s="48" t="n">
        <f aca="false">W51*$X51</f>
        <v>12.09</v>
      </c>
      <c r="AU51" s="48" t="n">
        <f aca="false">X51*$X51</f>
        <v>16.2409</v>
      </c>
      <c r="AV51" s="48" t="n">
        <f aca="false">Y51*$X51</f>
        <v>48.7227</v>
      </c>
      <c r="AW51" s="48" t="n">
        <f aca="false">Z51*$X51</f>
        <v>0</v>
      </c>
      <c r="AX51" s="48" t="n">
        <f aca="false">AA51*$X51</f>
        <v>0</v>
      </c>
      <c r="AY51" s="48" t="n">
        <f aca="false">AB51*$X51</f>
        <v>0</v>
      </c>
      <c r="AZ51" s="48" t="n">
        <f aca="false">AC51*$X51</f>
        <v>0</v>
      </c>
      <c r="BA51" s="1"/>
      <c r="BB51" s="1"/>
      <c r="BC51" s="1"/>
      <c r="BD51" s="1"/>
      <c r="BE51" s="1"/>
      <c r="BF51" s="1"/>
    </row>
    <row r="52" s="48" customFormat="true" ht="15" hidden="false" customHeight="true" outlineLevel="0" collapsed="false">
      <c r="A52" s="42" t="s">
        <v>121</v>
      </c>
      <c r="B52" s="42" t="n">
        <v>0</v>
      </c>
      <c r="C52" s="43"/>
      <c r="D52" s="44"/>
      <c r="E52" s="44"/>
      <c r="F52" s="44" t="n">
        <v>1</v>
      </c>
      <c r="G52" s="44"/>
      <c r="H52" s="44" t="n">
        <f aca="false">B52+D52+E52+F52+G52+C52</f>
        <v>1</v>
      </c>
      <c r="I52" s="45"/>
      <c r="J52" s="49"/>
      <c r="K52" s="49"/>
      <c r="L52" s="49"/>
      <c r="M52" s="49"/>
      <c r="N52" s="49"/>
      <c r="O52" s="49" t="n">
        <v>4</v>
      </c>
      <c r="P52" s="49"/>
      <c r="Q52" s="49"/>
      <c r="R52" s="49"/>
      <c r="S52" s="49"/>
      <c r="T52" s="49"/>
      <c r="U52" s="49"/>
      <c r="V52" s="47" t="n">
        <f aca="false">J52+K52+L52+M52+N52+O52+P52+Q52+R52+S52+T52+U52</f>
        <v>4</v>
      </c>
      <c r="W52" s="47" t="n">
        <f aca="false">H52-V52</f>
        <v>-3</v>
      </c>
      <c r="X52" s="48" t="n">
        <v>11.3</v>
      </c>
      <c r="Y52" s="48" t="n">
        <f aca="false">B52*$X52</f>
        <v>0</v>
      </c>
      <c r="Z52" s="48" t="n">
        <f aca="false">C52*$X52</f>
        <v>0</v>
      </c>
      <c r="AA52" s="48" t="n">
        <f aca="false">D52*$X52</f>
        <v>0</v>
      </c>
      <c r="AB52" s="48" t="n">
        <f aca="false">E52*$X52</f>
        <v>0</v>
      </c>
      <c r="AC52" s="48" t="n">
        <f aca="false">F52*$X52</f>
        <v>11.3</v>
      </c>
      <c r="AD52" s="48" t="n">
        <f aca="false">G52*$X52</f>
        <v>0</v>
      </c>
      <c r="AE52" s="48" t="n">
        <f aca="false">H52*$X52</f>
        <v>11.3</v>
      </c>
      <c r="AF52" s="48" t="n">
        <f aca="false">I52*$X52</f>
        <v>0</v>
      </c>
      <c r="AG52" s="48" t="n">
        <f aca="false">J52*$X52</f>
        <v>0</v>
      </c>
      <c r="AH52" s="48" t="n">
        <f aca="false">K52*$X52</f>
        <v>0</v>
      </c>
      <c r="AI52" s="48" t="n">
        <f aca="false">L52*$X52</f>
        <v>0</v>
      </c>
      <c r="AJ52" s="48" t="n">
        <f aca="false">M52*$X52</f>
        <v>0</v>
      </c>
      <c r="AK52" s="48" t="n">
        <f aca="false">N52*$X52</f>
        <v>0</v>
      </c>
      <c r="AL52" s="48" t="n">
        <f aca="false">O52*$X52</f>
        <v>45.2</v>
      </c>
      <c r="AM52" s="48" t="n">
        <f aca="false">P52*$X52</f>
        <v>0</v>
      </c>
      <c r="AN52" s="48" t="n">
        <f aca="false">Q52*$X52</f>
        <v>0</v>
      </c>
      <c r="AO52" s="48" t="n">
        <f aca="false">R52*$X52</f>
        <v>0</v>
      </c>
      <c r="AP52" s="48" t="n">
        <f aca="false">S52*$X52</f>
        <v>0</v>
      </c>
      <c r="AQ52" s="48" t="n">
        <f aca="false">T52*$X52</f>
        <v>0</v>
      </c>
      <c r="AR52" s="48" t="n">
        <f aca="false">U52*$X52</f>
        <v>0</v>
      </c>
      <c r="AS52" s="48" t="n">
        <f aca="false">V52*$X52</f>
        <v>45.2</v>
      </c>
      <c r="AT52" s="48" t="n">
        <f aca="false">W52*$X52</f>
        <v>-33.9</v>
      </c>
      <c r="AU52" s="48" t="n">
        <f aca="false">X52*$X52</f>
        <v>127.69</v>
      </c>
      <c r="AV52" s="48" t="n">
        <f aca="false">Y52*$X52</f>
        <v>0</v>
      </c>
      <c r="AW52" s="48" t="n">
        <f aca="false">Z52*$X52</f>
        <v>0</v>
      </c>
      <c r="AX52" s="48" t="n">
        <f aca="false">AA52*$X52</f>
        <v>0</v>
      </c>
      <c r="AY52" s="48" t="n">
        <f aca="false">AB52*$X52</f>
        <v>0</v>
      </c>
      <c r="AZ52" s="48" t="n">
        <f aca="false">AC52*$X52</f>
        <v>127.69</v>
      </c>
      <c r="BA52" s="1"/>
      <c r="BB52" s="1"/>
      <c r="BC52" s="1"/>
      <c r="BD52" s="1"/>
      <c r="BE52" s="1"/>
      <c r="BF52" s="1"/>
    </row>
    <row r="53" s="48" customFormat="true" ht="15" hidden="false" customHeight="true" outlineLevel="0" collapsed="false">
      <c r="A53" s="42" t="s">
        <v>122</v>
      </c>
      <c r="B53" s="42" t="n">
        <v>4</v>
      </c>
      <c r="C53" s="43"/>
      <c r="D53" s="44"/>
      <c r="E53" s="44"/>
      <c r="F53" s="44"/>
      <c r="G53" s="44"/>
      <c r="H53" s="44" t="n">
        <f aca="false">B53+D53+E53+F53+G53+C53</f>
        <v>4</v>
      </c>
      <c r="I53" s="45"/>
      <c r="J53" s="49"/>
      <c r="K53" s="49"/>
      <c r="L53" s="49"/>
      <c r="M53" s="49"/>
      <c r="N53" s="49"/>
      <c r="O53" s="49" t="n">
        <v>0</v>
      </c>
      <c r="P53" s="49"/>
      <c r="Q53" s="49"/>
      <c r="R53" s="49"/>
      <c r="S53" s="49"/>
      <c r="T53" s="49"/>
      <c r="U53" s="49"/>
      <c r="V53" s="47" t="n">
        <f aca="false">J53+K53+L53+M53+N53+O53+P53+Q53+R53+S53+T53+U53</f>
        <v>0</v>
      </c>
      <c r="W53" s="47" t="n">
        <f aca="false">H53-V53</f>
        <v>4</v>
      </c>
      <c r="X53" s="48" t="n">
        <v>10.82</v>
      </c>
      <c r="Y53" s="48" t="n">
        <f aca="false">B53*$X53</f>
        <v>43.28</v>
      </c>
      <c r="Z53" s="48" t="n">
        <f aca="false">C53*$X53</f>
        <v>0</v>
      </c>
      <c r="AA53" s="48" t="n">
        <f aca="false">D53*$X53</f>
        <v>0</v>
      </c>
      <c r="AB53" s="48" t="n">
        <f aca="false">E53*$X53</f>
        <v>0</v>
      </c>
      <c r="AC53" s="48" t="n">
        <f aca="false">F53*$X53</f>
        <v>0</v>
      </c>
      <c r="AD53" s="48" t="n">
        <f aca="false">G53*$X53</f>
        <v>0</v>
      </c>
      <c r="AE53" s="48" t="n">
        <f aca="false">H53*$X53</f>
        <v>43.28</v>
      </c>
      <c r="AF53" s="48" t="n">
        <f aca="false">I53*$X53</f>
        <v>0</v>
      </c>
      <c r="AG53" s="48" t="n">
        <f aca="false">J53*$X53</f>
        <v>0</v>
      </c>
      <c r="AH53" s="48" t="n">
        <f aca="false">K53*$X53</f>
        <v>0</v>
      </c>
      <c r="AI53" s="48" t="n">
        <f aca="false">L53*$X53</f>
        <v>0</v>
      </c>
      <c r="AJ53" s="48" t="n">
        <f aca="false">M53*$X53</f>
        <v>0</v>
      </c>
      <c r="AK53" s="48" t="n">
        <f aca="false">N53*$X53</f>
        <v>0</v>
      </c>
      <c r="AL53" s="48" t="n">
        <f aca="false">O53*$X53</f>
        <v>0</v>
      </c>
      <c r="AM53" s="48" t="n">
        <f aca="false">P53*$X53</f>
        <v>0</v>
      </c>
      <c r="AN53" s="48" t="n">
        <f aca="false">Q53*$X53</f>
        <v>0</v>
      </c>
      <c r="AO53" s="48" t="n">
        <f aca="false">R53*$X53</f>
        <v>0</v>
      </c>
      <c r="AP53" s="48" t="n">
        <f aca="false">S53*$X53</f>
        <v>0</v>
      </c>
      <c r="AQ53" s="48" t="n">
        <f aca="false">T53*$X53</f>
        <v>0</v>
      </c>
      <c r="AR53" s="48" t="n">
        <f aca="false">U53*$X53</f>
        <v>0</v>
      </c>
      <c r="AS53" s="48" t="n">
        <f aca="false">V53*$X53</f>
        <v>0</v>
      </c>
      <c r="AT53" s="48" t="n">
        <f aca="false">W53*$X53</f>
        <v>43.28</v>
      </c>
      <c r="AU53" s="48" t="n">
        <f aca="false">X53*$X53</f>
        <v>117.0724</v>
      </c>
      <c r="AV53" s="48" t="n">
        <f aca="false">Y53*$X53</f>
        <v>468.2896</v>
      </c>
      <c r="AW53" s="48" t="n">
        <f aca="false">Z53*$X53</f>
        <v>0</v>
      </c>
      <c r="AX53" s="48" t="n">
        <f aca="false">AA53*$X53</f>
        <v>0</v>
      </c>
      <c r="AY53" s="48" t="n">
        <f aca="false">AB53*$X53</f>
        <v>0</v>
      </c>
      <c r="AZ53" s="48" t="n">
        <f aca="false">AC53*$X53</f>
        <v>0</v>
      </c>
      <c r="BA53" s="1"/>
      <c r="BB53" s="1"/>
      <c r="BC53" s="1"/>
      <c r="BD53" s="1"/>
      <c r="BE53" s="1"/>
      <c r="BF53" s="1"/>
    </row>
    <row r="54" s="48" customFormat="true" ht="15" hidden="false" customHeight="true" outlineLevel="0" collapsed="false">
      <c r="A54" s="42" t="s">
        <v>123</v>
      </c>
      <c r="B54" s="42" t="n">
        <v>0</v>
      </c>
      <c r="C54" s="43"/>
      <c r="D54" s="44"/>
      <c r="E54" s="44"/>
      <c r="F54" s="44" t="n">
        <v>1</v>
      </c>
      <c r="G54" s="44"/>
      <c r="H54" s="44" t="n">
        <f aca="false">B54+D54+E54+F54+G54+C54</f>
        <v>1</v>
      </c>
      <c r="I54" s="45"/>
      <c r="J54" s="49"/>
      <c r="K54" s="49"/>
      <c r="L54" s="49"/>
      <c r="M54" s="49"/>
      <c r="N54" s="49"/>
      <c r="O54" s="49" t="n">
        <v>0</v>
      </c>
      <c r="P54" s="49"/>
      <c r="Q54" s="49"/>
      <c r="R54" s="49"/>
      <c r="S54" s="49"/>
      <c r="T54" s="49"/>
      <c r="U54" s="49"/>
      <c r="V54" s="47" t="n">
        <f aca="false">J54+K54+L54+M54+N54+O54+P54+Q54+R54+S54+T54+U54</f>
        <v>0</v>
      </c>
      <c r="W54" s="47" t="n">
        <f aca="false">H54-V54</f>
        <v>1</v>
      </c>
      <c r="X54" s="48" t="n">
        <v>14.5</v>
      </c>
      <c r="Y54" s="48" t="n">
        <f aca="false">B54*$X54</f>
        <v>0</v>
      </c>
      <c r="Z54" s="48" t="n">
        <f aca="false">C54*$X54</f>
        <v>0</v>
      </c>
      <c r="AA54" s="48" t="n">
        <f aca="false">D54*$X54</f>
        <v>0</v>
      </c>
      <c r="AB54" s="48" t="n">
        <f aca="false">E54*$X54</f>
        <v>0</v>
      </c>
      <c r="AC54" s="48" t="n">
        <f aca="false">F54*$X54</f>
        <v>14.5</v>
      </c>
      <c r="AD54" s="48" t="n">
        <f aca="false">G54*$X54</f>
        <v>0</v>
      </c>
      <c r="AE54" s="48" t="n">
        <f aca="false">H54*$X54</f>
        <v>14.5</v>
      </c>
      <c r="AF54" s="48" t="n">
        <f aca="false">I54*$X54</f>
        <v>0</v>
      </c>
      <c r="AG54" s="48" t="n">
        <f aca="false">J54*$X54</f>
        <v>0</v>
      </c>
      <c r="AH54" s="48" t="n">
        <f aca="false">K54*$X54</f>
        <v>0</v>
      </c>
      <c r="AI54" s="48" t="n">
        <f aca="false">L54*$X54</f>
        <v>0</v>
      </c>
      <c r="AJ54" s="48" t="n">
        <f aca="false">M54*$X54</f>
        <v>0</v>
      </c>
      <c r="AK54" s="48" t="n">
        <f aca="false">N54*$X54</f>
        <v>0</v>
      </c>
      <c r="AL54" s="48" t="n">
        <f aca="false">O54*$X54</f>
        <v>0</v>
      </c>
      <c r="AM54" s="48" t="n">
        <f aca="false">P54*$X54</f>
        <v>0</v>
      </c>
      <c r="AN54" s="48" t="n">
        <f aca="false">Q54*$X54</f>
        <v>0</v>
      </c>
      <c r="AO54" s="48" t="n">
        <f aca="false">R54*$X54</f>
        <v>0</v>
      </c>
      <c r="AP54" s="48" t="n">
        <f aca="false">S54*$X54</f>
        <v>0</v>
      </c>
      <c r="AQ54" s="48" t="n">
        <f aca="false">T54*$X54</f>
        <v>0</v>
      </c>
      <c r="AR54" s="48" t="n">
        <f aca="false">U54*$X54</f>
        <v>0</v>
      </c>
      <c r="AS54" s="48" t="n">
        <f aca="false">V54*$X54</f>
        <v>0</v>
      </c>
      <c r="AT54" s="48" t="n">
        <f aca="false">W54*$X54</f>
        <v>14.5</v>
      </c>
      <c r="AU54" s="48" t="n">
        <f aca="false">X54*$X54</f>
        <v>210.25</v>
      </c>
      <c r="AV54" s="48" t="n">
        <f aca="false">Y54*$X54</f>
        <v>0</v>
      </c>
      <c r="AW54" s="48" t="n">
        <f aca="false">Z54*$X54</f>
        <v>0</v>
      </c>
      <c r="AX54" s="48" t="n">
        <f aca="false">AA54*$X54</f>
        <v>0</v>
      </c>
      <c r="AY54" s="48" t="n">
        <f aca="false">AB54*$X54</f>
        <v>0</v>
      </c>
      <c r="AZ54" s="48" t="n">
        <f aca="false">AC54*$X54</f>
        <v>210.25</v>
      </c>
      <c r="BA54" s="1"/>
      <c r="BB54" s="1"/>
      <c r="BC54" s="1"/>
      <c r="BD54" s="1"/>
      <c r="BE54" s="1"/>
      <c r="BF54" s="1"/>
    </row>
    <row r="55" s="48" customFormat="true" ht="15" hidden="false" customHeight="true" outlineLevel="0" collapsed="false">
      <c r="A55" s="42" t="s">
        <v>124</v>
      </c>
      <c r="B55" s="42" t="n">
        <v>171</v>
      </c>
      <c r="C55" s="43" t="n">
        <v>16</v>
      </c>
      <c r="D55" s="44" t="n">
        <v>7</v>
      </c>
      <c r="E55" s="44" t="n">
        <v>193</v>
      </c>
      <c r="F55" s="44"/>
      <c r="G55" s="44" t="n">
        <v>459</v>
      </c>
      <c r="H55" s="44" t="n">
        <f aca="false">B55+D55+E55+F55+G55+C55</f>
        <v>846</v>
      </c>
      <c r="I55" s="45"/>
      <c r="J55" s="49"/>
      <c r="K55" s="49"/>
      <c r="L55" s="49"/>
      <c r="M55" s="49"/>
      <c r="N55" s="49"/>
      <c r="O55" s="49" t="n">
        <v>20</v>
      </c>
      <c r="P55" s="49" t="n">
        <v>147</v>
      </c>
      <c r="Q55" s="49" t="n">
        <v>50</v>
      </c>
      <c r="R55" s="49" t="n">
        <v>60</v>
      </c>
      <c r="S55" s="49" t="n">
        <v>22</v>
      </c>
      <c r="T55" s="49"/>
      <c r="U55" s="49" t="n">
        <v>3</v>
      </c>
      <c r="V55" s="47" t="n">
        <f aca="false">J55+K55+L55+M55+N55+O55+P55+Q55+R55+S55+T55+U55</f>
        <v>302</v>
      </c>
      <c r="W55" s="47" t="n">
        <f aca="false">H55-V55</f>
        <v>544</v>
      </c>
      <c r="X55" s="48" t="n">
        <v>11.2</v>
      </c>
      <c r="Y55" s="48" t="n">
        <f aca="false">B55*$X55</f>
        <v>1915.2</v>
      </c>
      <c r="Z55" s="48" t="n">
        <f aca="false">C55*$X55</f>
        <v>179.2</v>
      </c>
      <c r="AA55" s="48" t="n">
        <f aca="false">D55*$X55</f>
        <v>78.4</v>
      </c>
      <c r="AB55" s="48" t="n">
        <f aca="false">E55*$X55</f>
        <v>2161.6</v>
      </c>
      <c r="AC55" s="48" t="n">
        <f aca="false">F55*$X55</f>
        <v>0</v>
      </c>
      <c r="AD55" s="48" t="n">
        <f aca="false">G55*$X55</f>
        <v>5140.8</v>
      </c>
      <c r="AE55" s="48" t="n">
        <f aca="false">H55*$X55</f>
        <v>9475.2</v>
      </c>
      <c r="AF55" s="48" t="n">
        <f aca="false">I55*$X55</f>
        <v>0</v>
      </c>
      <c r="AG55" s="48" t="n">
        <f aca="false">J55*$X55</f>
        <v>0</v>
      </c>
      <c r="AH55" s="48" t="n">
        <f aca="false">K55*$X55</f>
        <v>0</v>
      </c>
      <c r="AI55" s="48" t="n">
        <f aca="false">L55*$X55</f>
        <v>0</v>
      </c>
      <c r="AJ55" s="48" t="n">
        <f aca="false">M55*$X55</f>
        <v>0</v>
      </c>
      <c r="AK55" s="48" t="n">
        <f aca="false">N55*$X55</f>
        <v>0</v>
      </c>
      <c r="AL55" s="48" t="n">
        <f aca="false">O55*$X55</f>
        <v>224</v>
      </c>
      <c r="AM55" s="48" t="n">
        <f aca="false">P55*$X55</f>
        <v>1646.4</v>
      </c>
      <c r="AN55" s="48" t="n">
        <f aca="false">Q55*$X55</f>
        <v>560</v>
      </c>
      <c r="AO55" s="48" t="n">
        <f aca="false">R55*$X55</f>
        <v>672</v>
      </c>
      <c r="AP55" s="48" t="n">
        <f aca="false">S55*$X55</f>
        <v>246.4</v>
      </c>
      <c r="AQ55" s="48" t="n">
        <f aca="false">T55*$X55</f>
        <v>0</v>
      </c>
      <c r="AR55" s="48" t="n">
        <f aca="false">U55*$X55</f>
        <v>33.6</v>
      </c>
      <c r="AS55" s="48" t="n">
        <f aca="false">V55*$X55</f>
        <v>3382.4</v>
      </c>
      <c r="AT55" s="48" t="n">
        <f aca="false">W55*$X55</f>
        <v>6092.8</v>
      </c>
      <c r="AU55" s="48" t="n">
        <f aca="false">X55*$X55</f>
        <v>125.44</v>
      </c>
      <c r="AV55" s="48" t="n">
        <f aca="false">Y55*$X55</f>
        <v>21450.24</v>
      </c>
      <c r="AW55" s="48" t="n">
        <f aca="false">Z55*$X55</f>
        <v>2007.04</v>
      </c>
      <c r="AX55" s="48" t="n">
        <f aca="false">AA55*$X55</f>
        <v>878.08</v>
      </c>
      <c r="AY55" s="48" t="n">
        <f aca="false">AB55*$X55</f>
        <v>24209.92</v>
      </c>
      <c r="AZ55" s="48" t="n">
        <f aca="false">AC55*$X55</f>
        <v>0</v>
      </c>
      <c r="BA55" s="1"/>
      <c r="BB55" s="1"/>
      <c r="BC55" s="1"/>
      <c r="BD55" s="1"/>
      <c r="BE55" s="1"/>
      <c r="BF55" s="1"/>
    </row>
    <row r="56" s="48" customFormat="true" ht="15" hidden="false" customHeight="true" outlineLevel="0" collapsed="false">
      <c r="A56" s="42" t="s">
        <v>125</v>
      </c>
      <c r="B56" s="42" t="n">
        <v>0</v>
      </c>
      <c r="C56" s="43"/>
      <c r="D56" s="44"/>
      <c r="E56" s="44"/>
      <c r="F56" s="44"/>
      <c r="G56" s="44"/>
      <c r="H56" s="44" t="n">
        <f aca="false">B56+D56+E56+F56+G56+C56</f>
        <v>0</v>
      </c>
      <c r="I56" s="45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7" t="n">
        <f aca="false">J56+K56+L56+M56+N56+O56+P56+Q56+R56+S56+T56+U56</f>
        <v>0</v>
      </c>
      <c r="W56" s="47" t="n">
        <f aca="false">H56-V56</f>
        <v>0</v>
      </c>
      <c r="X56" s="48" t="n">
        <v>6.6</v>
      </c>
      <c r="Y56" s="48" t="n">
        <f aca="false">B56*$X56</f>
        <v>0</v>
      </c>
      <c r="Z56" s="48" t="n">
        <f aca="false">C56*$X56</f>
        <v>0</v>
      </c>
      <c r="AA56" s="48" t="n">
        <f aca="false">D56*$X56</f>
        <v>0</v>
      </c>
      <c r="AB56" s="48" t="n">
        <f aca="false">E56*$X56</f>
        <v>0</v>
      </c>
      <c r="AC56" s="48" t="n">
        <f aca="false">F56*$X56</f>
        <v>0</v>
      </c>
      <c r="AD56" s="48" t="n">
        <f aca="false">G56*$X56</f>
        <v>0</v>
      </c>
      <c r="AE56" s="48" t="n">
        <f aca="false">H56*$X56</f>
        <v>0</v>
      </c>
      <c r="AF56" s="48" t="n">
        <f aca="false">I56*$X56</f>
        <v>0</v>
      </c>
      <c r="AG56" s="48" t="n">
        <f aca="false">J56*$X56</f>
        <v>0</v>
      </c>
      <c r="AH56" s="48" t="n">
        <f aca="false">K56*$X56</f>
        <v>0</v>
      </c>
      <c r="AI56" s="48" t="n">
        <f aca="false">L56*$X56</f>
        <v>0</v>
      </c>
      <c r="AJ56" s="48" t="n">
        <f aca="false">M56*$X56</f>
        <v>0</v>
      </c>
      <c r="AK56" s="48" t="n">
        <f aca="false">N56*$X56</f>
        <v>0</v>
      </c>
      <c r="AL56" s="48" t="n">
        <f aca="false">O56*$X56</f>
        <v>0</v>
      </c>
      <c r="AM56" s="48" t="n">
        <f aca="false">P56*$X56</f>
        <v>0</v>
      </c>
      <c r="AN56" s="48" t="n">
        <f aca="false">Q56*$X56</f>
        <v>0</v>
      </c>
      <c r="AO56" s="48" t="n">
        <f aca="false">R56*$X56</f>
        <v>0</v>
      </c>
      <c r="AP56" s="48" t="n">
        <f aca="false">S56*$X56</f>
        <v>0</v>
      </c>
      <c r="AQ56" s="48" t="n">
        <f aca="false">T56*$X56</f>
        <v>0</v>
      </c>
      <c r="AR56" s="48" t="n">
        <f aca="false">U56*$X56</f>
        <v>0</v>
      </c>
      <c r="AS56" s="48" t="n">
        <f aca="false">V56*$X56</f>
        <v>0</v>
      </c>
      <c r="AT56" s="48" t="n">
        <f aca="false">W56*$X56</f>
        <v>0</v>
      </c>
      <c r="AU56" s="48" t="n">
        <f aca="false">X56*$X56</f>
        <v>43.56</v>
      </c>
      <c r="AV56" s="48" t="n">
        <f aca="false">Y56*$X56</f>
        <v>0</v>
      </c>
      <c r="AW56" s="48" t="n">
        <f aca="false">Z56*$X56</f>
        <v>0</v>
      </c>
      <c r="AX56" s="48" t="n">
        <f aca="false">AA56*$X56</f>
        <v>0</v>
      </c>
      <c r="AY56" s="48" t="n">
        <f aca="false">AB56*$X56</f>
        <v>0</v>
      </c>
      <c r="AZ56" s="48" t="n">
        <f aca="false">AC56*$X56</f>
        <v>0</v>
      </c>
      <c r="BA56" s="1"/>
      <c r="BB56" s="1"/>
      <c r="BC56" s="1"/>
      <c r="BD56" s="1"/>
      <c r="BE56" s="1"/>
      <c r="BF56" s="1"/>
    </row>
    <row r="57" s="48" customFormat="true" ht="15" hidden="false" customHeight="true" outlineLevel="0" collapsed="false">
      <c r="A57" s="42" t="s">
        <v>126</v>
      </c>
      <c r="B57" s="42" t="n">
        <v>0</v>
      </c>
      <c r="C57" s="43"/>
      <c r="D57" s="44"/>
      <c r="E57" s="44"/>
      <c r="F57" s="44"/>
      <c r="G57" s="44"/>
      <c r="H57" s="44" t="n">
        <f aca="false">B57+D57+E57+F57+G57+C57</f>
        <v>0</v>
      </c>
      <c r="I57" s="45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7" t="n">
        <f aca="false">J57+K57+L57+M57+N57+O57+P57+Q57+R57+S57+T57+U57</f>
        <v>0</v>
      </c>
      <c r="W57" s="47" t="n">
        <f aca="false">H57-V57</f>
        <v>0</v>
      </c>
      <c r="X57" s="48" t="n">
        <v>9.9</v>
      </c>
      <c r="Y57" s="48" t="n">
        <f aca="false">B57*$X57</f>
        <v>0</v>
      </c>
      <c r="Z57" s="48" t="n">
        <f aca="false">C57*$X57</f>
        <v>0</v>
      </c>
      <c r="AA57" s="48" t="n">
        <f aca="false">D57*$X57</f>
        <v>0</v>
      </c>
      <c r="AB57" s="48" t="n">
        <f aca="false">E57*$X57</f>
        <v>0</v>
      </c>
      <c r="AC57" s="48" t="n">
        <f aca="false">F57*$X57</f>
        <v>0</v>
      </c>
      <c r="AD57" s="48" t="n">
        <f aca="false">G57*$X57</f>
        <v>0</v>
      </c>
      <c r="AE57" s="48" t="n">
        <f aca="false">H57*$X57</f>
        <v>0</v>
      </c>
      <c r="AF57" s="48" t="n">
        <f aca="false">I57*$X57</f>
        <v>0</v>
      </c>
      <c r="AG57" s="48" t="n">
        <f aca="false">J57*$X57</f>
        <v>0</v>
      </c>
      <c r="AH57" s="48" t="n">
        <f aca="false">K57*$X57</f>
        <v>0</v>
      </c>
      <c r="AI57" s="48" t="n">
        <f aca="false">L57*$X57</f>
        <v>0</v>
      </c>
      <c r="AJ57" s="48" t="n">
        <f aca="false">M57*$X57</f>
        <v>0</v>
      </c>
      <c r="AK57" s="48" t="n">
        <f aca="false">N57*$X57</f>
        <v>0</v>
      </c>
      <c r="AL57" s="48" t="n">
        <f aca="false">O57*$X57</f>
        <v>0</v>
      </c>
      <c r="AM57" s="48" t="n">
        <f aca="false">P57*$X57</f>
        <v>0</v>
      </c>
      <c r="AN57" s="48" t="n">
        <f aca="false">Q57*$X57</f>
        <v>0</v>
      </c>
      <c r="AO57" s="48" t="n">
        <f aca="false">R57*$X57</f>
        <v>0</v>
      </c>
      <c r="AP57" s="48" t="n">
        <f aca="false">S57*$X57</f>
        <v>0</v>
      </c>
      <c r="AQ57" s="48" t="n">
        <f aca="false">T57*$X57</f>
        <v>0</v>
      </c>
      <c r="AR57" s="48" t="n">
        <f aca="false">U57*$X57</f>
        <v>0</v>
      </c>
      <c r="AS57" s="48" t="n">
        <f aca="false">V57*$X57</f>
        <v>0</v>
      </c>
      <c r="AT57" s="48" t="n">
        <f aca="false">W57*$X57</f>
        <v>0</v>
      </c>
      <c r="AU57" s="48" t="n">
        <f aca="false">X57*$X57</f>
        <v>98.01</v>
      </c>
      <c r="AV57" s="48" t="n">
        <f aca="false">Y57*$X57</f>
        <v>0</v>
      </c>
      <c r="AW57" s="48" t="n">
        <f aca="false">Z57*$X57</f>
        <v>0</v>
      </c>
      <c r="AX57" s="48" t="n">
        <f aca="false">AA57*$X57</f>
        <v>0</v>
      </c>
      <c r="AY57" s="48" t="n">
        <f aca="false">AB57*$X57</f>
        <v>0</v>
      </c>
      <c r="AZ57" s="48" t="n">
        <f aca="false">AC57*$X57</f>
        <v>0</v>
      </c>
      <c r="BA57" s="1"/>
      <c r="BB57" s="1"/>
      <c r="BC57" s="1"/>
      <c r="BD57" s="1"/>
      <c r="BE57" s="1"/>
      <c r="BF57" s="1"/>
    </row>
    <row r="58" s="48" customFormat="true" ht="15" hidden="false" customHeight="true" outlineLevel="0" collapsed="false">
      <c r="A58" s="42" t="s">
        <v>127</v>
      </c>
      <c r="B58" s="42" t="n">
        <v>0</v>
      </c>
      <c r="C58" s="43" t="n">
        <v>6</v>
      </c>
      <c r="D58" s="44" t="n">
        <v>38</v>
      </c>
      <c r="E58" s="44" t="n">
        <v>14</v>
      </c>
      <c r="F58" s="44"/>
      <c r="G58" s="44"/>
      <c r="H58" s="44" t="n">
        <f aca="false">B58+D58+E58+F58+G58+C58</f>
        <v>58</v>
      </c>
      <c r="I58" s="45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 t="n">
        <v>3</v>
      </c>
      <c r="V58" s="47" t="n">
        <f aca="false">J58+K58+L58+M58+N58+O58+P58+Q58+R58+S58+T58+U58</f>
        <v>3</v>
      </c>
      <c r="W58" s="47" t="n">
        <f aca="false">H58-V58</f>
        <v>55</v>
      </c>
      <c r="X58" s="48" t="n">
        <v>13.2</v>
      </c>
      <c r="Y58" s="48" t="n">
        <f aca="false">B58*$X58</f>
        <v>0</v>
      </c>
      <c r="Z58" s="48" t="n">
        <f aca="false">C58*$X58</f>
        <v>79.2</v>
      </c>
      <c r="AA58" s="48" t="n">
        <f aca="false">D58*$X58</f>
        <v>501.6</v>
      </c>
      <c r="AB58" s="48" t="n">
        <f aca="false">E58*$X58</f>
        <v>184.8</v>
      </c>
      <c r="AC58" s="48" t="n">
        <f aca="false">F58*$X58</f>
        <v>0</v>
      </c>
      <c r="AD58" s="48" t="n">
        <f aca="false">G58*$X58</f>
        <v>0</v>
      </c>
      <c r="AE58" s="48" t="n">
        <f aca="false">H58*$X58</f>
        <v>765.6</v>
      </c>
      <c r="AF58" s="48" t="n">
        <f aca="false">I58*$X58</f>
        <v>0</v>
      </c>
      <c r="AG58" s="48" t="n">
        <f aca="false">J58*$X58</f>
        <v>0</v>
      </c>
      <c r="AH58" s="48" t="n">
        <f aca="false">K58*$X58</f>
        <v>0</v>
      </c>
      <c r="AI58" s="48" t="n">
        <f aca="false">L58*$X58</f>
        <v>0</v>
      </c>
      <c r="AJ58" s="48" t="n">
        <f aca="false">M58*$X58</f>
        <v>0</v>
      </c>
      <c r="AK58" s="48" t="n">
        <f aca="false">N58*$X58</f>
        <v>0</v>
      </c>
      <c r="AL58" s="48" t="n">
        <f aca="false">O58*$X58</f>
        <v>0</v>
      </c>
      <c r="AM58" s="48" t="n">
        <f aca="false">P58*$X58</f>
        <v>0</v>
      </c>
      <c r="AN58" s="48" t="n">
        <f aca="false">Q58*$X58</f>
        <v>0</v>
      </c>
      <c r="AO58" s="48" t="n">
        <f aca="false">R58*$X58</f>
        <v>0</v>
      </c>
      <c r="AP58" s="48" t="n">
        <f aca="false">S58*$X58</f>
        <v>0</v>
      </c>
      <c r="AQ58" s="48" t="n">
        <f aca="false">T58*$X58</f>
        <v>0</v>
      </c>
      <c r="AR58" s="48" t="n">
        <f aca="false">U58*$X58</f>
        <v>39.6</v>
      </c>
      <c r="AS58" s="48" t="n">
        <f aca="false">V58*$X58</f>
        <v>39.6</v>
      </c>
      <c r="AT58" s="48" t="n">
        <f aca="false">W58*$X58</f>
        <v>726</v>
      </c>
      <c r="AU58" s="48" t="n">
        <f aca="false">X58*$X58</f>
        <v>174.24</v>
      </c>
      <c r="AV58" s="48" t="n">
        <f aca="false">Y58*$X58</f>
        <v>0</v>
      </c>
      <c r="AW58" s="48" t="n">
        <f aca="false">Z58*$X58</f>
        <v>1045.44</v>
      </c>
      <c r="AX58" s="48" t="n">
        <f aca="false">AA58*$X58</f>
        <v>6621.12</v>
      </c>
      <c r="AY58" s="48" t="n">
        <f aca="false">AB58*$X58</f>
        <v>2439.36</v>
      </c>
      <c r="AZ58" s="48" t="n">
        <f aca="false">AC58*$X58</f>
        <v>0</v>
      </c>
      <c r="BA58" s="1"/>
      <c r="BB58" s="1"/>
      <c r="BC58" s="1"/>
      <c r="BD58" s="1"/>
      <c r="BE58" s="1"/>
      <c r="BF58" s="1"/>
    </row>
    <row r="59" s="48" customFormat="true" ht="15" hidden="false" customHeight="true" outlineLevel="0" collapsed="false">
      <c r="A59" s="42" t="s">
        <v>128</v>
      </c>
      <c r="B59" s="42" t="n">
        <v>0</v>
      </c>
      <c r="C59" s="43"/>
      <c r="D59" s="44"/>
      <c r="E59" s="44"/>
      <c r="F59" s="44"/>
      <c r="G59" s="44"/>
      <c r="H59" s="44" t="n">
        <f aca="false">B59+D59+E59+F59+G59+C59</f>
        <v>0</v>
      </c>
      <c r="I59" s="45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 t="n">
        <v>0</v>
      </c>
      <c r="V59" s="47" t="n">
        <f aca="false">J59+K59+L59+M59+N59+O59+P59+Q59+R59+S59+T59+U59</f>
        <v>0</v>
      </c>
      <c r="W59" s="47" t="n">
        <f aca="false">H59-V59</f>
        <v>0</v>
      </c>
      <c r="X59" s="48" t="n">
        <v>13.2</v>
      </c>
      <c r="Y59" s="48" t="n">
        <f aca="false">B59*$X59</f>
        <v>0</v>
      </c>
      <c r="Z59" s="48" t="n">
        <f aca="false">C59*$X59</f>
        <v>0</v>
      </c>
      <c r="AA59" s="48" t="n">
        <f aca="false">D59*$X59</f>
        <v>0</v>
      </c>
      <c r="AB59" s="48" t="n">
        <f aca="false">E59*$X59</f>
        <v>0</v>
      </c>
      <c r="AC59" s="48" t="n">
        <f aca="false">F59*$X59</f>
        <v>0</v>
      </c>
      <c r="AD59" s="48" t="n">
        <f aca="false">G59*$X59</f>
        <v>0</v>
      </c>
      <c r="AE59" s="48" t="n">
        <f aca="false">H59*$X59</f>
        <v>0</v>
      </c>
      <c r="AF59" s="48" t="n">
        <f aca="false">I59*$X59</f>
        <v>0</v>
      </c>
      <c r="AG59" s="48" t="n">
        <f aca="false">J59*$X59</f>
        <v>0</v>
      </c>
      <c r="AH59" s="48" t="n">
        <f aca="false">K59*$X59</f>
        <v>0</v>
      </c>
      <c r="AI59" s="48" t="n">
        <f aca="false">L59*$X59</f>
        <v>0</v>
      </c>
      <c r="AJ59" s="48" t="n">
        <f aca="false">M59*$X59</f>
        <v>0</v>
      </c>
      <c r="AK59" s="48" t="n">
        <f aca="false">N59*$X59</f>
        <v>0</v>
      </c>
      <c r="AL59" s="48" t="n">
        <f aca="false">O59*$X59</f>
        <v>0</v>
      </c>
      <c r="AM59" s="48" t="n">
        <f aca="false">P59*$X59</f>
        <v>0</v>
      </c>
      <c r="AN59" s="48" t="n">
        <f aca="false">Q59*$X59</f>
        <v>0</v>
      </c>
      <c r="AO59" s="48" t="n">
        <f aca="false">R59*$X59</f>
        <v>0</v>
      </c>
      <c r="AP59" s="48" t="n">
        <f aca="false">S59*$X59</f>
        <v>0</v>
      </c>
      <c r="AQ59" s="48" t="n">
        <f aca="false">T59*$X59</f>
        <v>0</v>
      </c>
      <c r="AR59" s="48" t="n">
        <f aca="false">U59*$X59</f>
        <v>0</v>
      </c>
      <c r="AS59" s="48" t="n">
        <f aca="false">V59*$X59</f>
        <v>0</v>
      </c>
      <c r="AT59" s="48" t="n">
        <f aca="false">W59*$X59</f>
        <v>0</v>
      </c>
      <c r="AU59" s="48" t="n">
        <f aca="false">X59*$X59</f>
        <v>174.24</v>
      </c>
      <c r="AV59" s="48" t="n">
        <f aca="false">Y59*$X59</f>
        <v>0</v>
      </c>
      <c r="AW59" s="48" t="n">
        <f aca="false">Z59*$X59</f>
        <v>0</v>
      </c>
      <c r="AX59" s="48" t="n">
        <f aca="false">AA59*$X59</f>
        <v>0</v>
      </c>
      <c r="AY59" s="48" t="n">
        <f aca="false">AB59*$X59</f>
        <v>0</v>
      </c>
      <c r="AZ59" s="48" t="n">
        <f aca="false">AC59*$X59</f>
        <v>0</v>
      </c>
      <c r="BA59" s="1"/>
      <c r="BB59" s="1"/>
      <c r="BC59" s="1"/>
      <c r="BD59" s="1"/>
      <c r="BE59" s="1"/>
      <c r="BF59" s="1"/>
    </row>
    <row r="60" s="48" customFormat="true" ht="15" hidden="false" customHeight="true" outlineLevel="0" collapsed="false">
      <c r="A60" s="42" t="s">
        <v>129</v>
      </c>
      <c r="B60" s="42" t="n">
        <v>0</v>
      </c>
      <c r="C60" s="43"/>
      <c r="D60" s="44"/>
      <c r="E60" s="44"/>
      <c r="F60" s="44"/>
      <c r="G60" s="44"/>
      <c r="H60" s="44" t="n">
        <f aca="false">B60+D60+E60+F60+G60+C60</f>
        <v>0</v>
      </c>
      <c r="I60" s="45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7" t="n">
        <f aca="false">J60+K60+L60+M60+N60+O60+P60+Q60+R60+S60+T60+U60</f>
        <v>0</v>
      </c>
      <c r="W60" s="47" t="n">
        <f aca="false">H60-V60</f>
        <v>0</v>
      </c>
      <c r="X60" s="48" t="n">
        <v>13.2</v>
      </c>
      <c r="Y60" s="48" t="n">
        <f aca="false">B60*$X60</f>
        <v>0</v>
      </c>
      <c r="Z60" s="48" t="n">
        <f aca="false">C60*$X60</f>
        <v>0</v>
      </c>
      <c r="AA60" s="48" t="n">
        <f aca="false">D60*$X60</f>
        <v>0</v>
      </c>
      <c r="AB60" s="48" t="n">
        <f aca="false">E60*$X60</f>
        <v>0</v>
      </c>
      <c r="AC60" s="48" t="n">
        <f aca="false">F60*$X60</f>
        <v>0</v>
      </c>
      <c r="AD60" s="48" t="n">
        <f aca="false">G60*$X60</f>
        <v>0</v>
      </c>
      <c r="AE60" s="48" t="n">
        <f aca="false">H60*$X60</f>
        <v>0</v>
      </c>
      <c r="AF60" s="48" t="n">
        <f aca="false">I60*$X60</f>
        <v>0</v>
      </c>
      <c r="AG60" s="48" t="n">
        <f aca="false">J60*$X60</f>
        <v>0</v>
      </c>
      <c r="AH60" s="48" t="n">
        <f aca="false">K60*$X60</f>
        <v>0</v>
      </c>
      <c r="AI60" s="48" t="n">
        <f aca="false">L60*$X60</f>
        <v>0</v>
      </c>
      <c r="AJ60" s="48" t="n">
        <f aca="false">M60*$X60</f>
        <v>0</v>
      </c>
      <c r="AK60" s="48" t="n">
        <f aca="false">N60*$X60</f>
        <v>0</v>
      </c>
      <c r="AL60" s="48" t="n">
        <f aca="false">O60*$X60</f>
        <v>0</v>
      </c>
      <c r="AM60" s="48" t="n">
        <f aca="false">P60*$X60</f>
        <v>0</v>
      </c>
      <c r="AN60" s="48" t="n">
        <f aca="false">Q60*$X60</f>
        <v>0</v>
      </c>
      <c r="AO60" s="48" t="n">
        <f aca="false">R60*$X60</f>
        <v>0</v>
      </c>
      <c r="AP60" s="48" t="n">
        <f aca="false">S60*$X60</f>
        <v>0</v>
      </c>
      <c r="AQ60" s="48" t="n">
        <f aca="false">T60*$X60</f>
        <v>0</v>
      </c>
      <c r="AR60" s="48" t="n">
        <f aca="false">U60*$X60</f>
        <v>0</v>
      </c>
      <c r="AS60" s="48" t="n">
        <f aca="false">V60*$X60</f>
        <v>0</v>
      </c>
      <c r="AT60" s="48" t="n">
        <f aca="false">W60*$X60</f>
        <v>0</v>
      </c>
      <c r="AU60" s="48" t="n">
        <f aca="false">X60*$X60</f>
        <v>174.24</v>
      </c>
      <c r="AV60" s="48" t="n">
        <f aca="false">Y60*$X60</f>
        <v>0</v>
      </c>
      <c r="AW60" s="48" t="n">
        <f aca="false">Z60*$X60</f>
        <v>0</v>
      </c>
      <c r="AX60" s="48" t="n">
        <f aca="false">AA60*$X60</f>
        <v>0</v>
      </c>
      <c r="AY60" s="48" t="n">
        <f aca="false">AB60*$X60</f>
        <v>0</v>
      </c>
      <c r="AZ60" s="48" t="n">
        <f aca="false">AC60*$X60</f>
        <v>0</v>
      </c>
      <c r="BA60" s="1"/>
      <c r="BB60" s="1"/>
      <c r="BC60" s="1"/>
      <c r="BD60" s="1"/>
      <c r="BE60" s="1"/>
      <c r="BF60" s="1"/>
    </row>
    <row r="61" s="48" customFormat="true" ht="15" hidden="false" customHeight="true" outlineLevel="0" collapsed="false">
      <c r="A61" s="42" t="s">
        <v>130</v>
      </c>
      <c r="B61" s="42" t="n">
        <v>383</v>
      </c>
      <c r="C61" s="43" t="n">
        <v>24</v>
      </c>
      <c r="D61" s="44"/>
      <c r="E61" s="44" t="n">
        <v>133</v>
      </c>
      <c r="F61" s="44"/>
      <c r="G61" s="44" t="n">
        <v>103</v>
      </c>
      <c r="H61" s="44" t="n">
        <f aca="false">B61+D61+E61+F61+G61+C61</f>
        <v>643</v>
      </c>
      <c r="I61" s="45"/>
      <c r="J61" s="49"/>
      <c r="K61" s="49"/>
      <c r="L61" s="49"/>
      <c r="M61" s="49"/>
      <c r="N61" s="49"/>
      <c r="O61" s="49"/>
      <c r="P61" s="49"/>
      <c r="Q61" s="49"/>
      <c r="R61" s="49" t="n">
        <v>33</v>
      </c>
      <c r="S61" s="49" t="n">
        <v>197</v>
      </c>
      <c r="T61" s="49"/>
      <c r="U61" s="49"/>
      <c r="V61" s="47" t="n">
        <f aca="false">J61+K61+L61+M61+N61+O61+P61+Q61+R61+S61+T61+U61</f>
        <v>230</v>
      </c>
      <c r="W61" s="47" t="n">
        <f aca="false">H61-V61</f>
        <v>413</v>
      </c>
      <c r="X61" s="48" t="n">
        <v>6.6</v>
      </c>
      <c r="Y61" s="48" t="n">
        <f aca="false">B61*$X61</f>
        <v>2527.8</v>
      </c>
      <c r="Z61" s="48" t="n">
        <f aca="false">C61*$X61</f>
        <v>158.4</v>
      </c>
      <c r="AA61" s="48" t="n">
        <f aca="false">D61*$X61</f>
        <v>0</v>
      </c>
      <c r="AB61" s="48" t="n">
        <f aca="false">E61*$X61</f>
        <v>877.8</v>
      </c>
      <c r="AC61" s="48" t="n">
        <f aca="false">F61*$X61</f>
        <v>0</v>
      </c>
      <c r="AD61" s="48" t="n">
        <f aca="false">G61*$X61</f>
        <v>679.8</v>
      </c>
      <c r="AE61" s="48" t="n">
        <f aca="false">H61*$X61</f>
        <v>4243.8</v>
      </c>
      <c r="AF61" s="48" t="n">
        <f aca="false">I61*$X61</f>
        <v>0</v>
      </c>
      <c r="AG61" s="48" t="n">
        <f aca="false">J61*$X61</f>
        <v>0</v>
      </c>
      <c r="AH61" s="48" t="n">
        <f aca="false">K61*$X61</f>
        <v>0</v>
      </c>
      <c r="AI61" s="48" t="n">
        <f aca="false">L61*$X61</f>
        <v>0</v>
      </c>
      <c r="AJ61" s="48" t="n">
        <f aca="false">M61*$X61</f>
        <v>0</v>
      </c>
      <c r="AK61" s="48" t="n">
        <f aca="false">N61*$X61</f>
        <v>0</v>
      </c>
      <c r="AL61" s="48" t="n">
        <f aca="false">O61*$X61</f>
        <v>0</v>
      </c>
      <c r="AM61" s="48" t="n">
        <f aca="false">P61*$X61</f>
        <v>0</v>
      </c>
      <c r="AN61" s="48" t="n">
        <f aca="false">Q61*$X61</f>
        <v>0</v>
      </c>
      <c r="AO61" s="48" t="n">
        <f aca="false">R61*$X61</f>
        <v>217.8</v>
      </c>
      <c r="AP61" s="48" t="n">
        <f aca="false">S61*$X61</f>
        <v>1300.2</v>
      </c>
      <c r="AQ61" s="48" t="n">
        <f aca="false">T61*$X61</f>
        <v>0</v>
      </c>
      <c r="AR61" s="48" t="n">
        <f aca="false">U61*$X61</f>
        <v>0</v>
      </c>
      <c r="AS61" s="48" t="n">
        <f aca="false">V61*$X61</f>
        <v>1518</v>
      </c>
      <c r="AT61" s="48" t="n">
        <f aca="false">W61*$X61</f>
        <v>2725.8</v>
      </c>
      <c r="AU61" s="48" t="n">
        <f aca="false">X61*$X61</f>
        <v>43.56</v>
      </c>
      <c r="AV61" s="48" t="n">
        <f aca="false">Y61*$X61</f>
        <v>16683.48</v>
      </c>
      <c r="AW61" s="48" t="n">
        <f aca="false">Z61*$X61</f>
        <v>1045.44</v>
      </c>
      <c r="AX61" s="48" t="n">
        <f aca="false">AA61*$X61</f>
        <v>0</v>
      </c>
      <c r="AY61" s="48" t="n">
        <f aca="false">AB61*$X61</f>
        <v>5793.48</v>
      </c>
      <c r="AZ61" s="48" t="n">
        <f aca="false">AC61*$X61</f>
        <v>0</v>
      </c>
      <c r="BA61" s="1"/>
      <c r="BB61" s="1"/>
      <c r="BC61" s="1"/>
      <c r="BD61" s="1"/>
      <c r="BE61" s="1"/>
      <c r="BF61" s="1"/>
    </row>
    <row r="62" s="48" customFormat="true" ht="15" hidden="false" customHeight="true" outlineLevel="0" collapsed="false">
      <c r="A62" s="42" t="s">
        <v>131</v>
      </c>
      <c r="B62" s="42" t="n">
        <v>171</v>
      </c>
      <c r="C62" s="43" t="n">
        <v>16</v>
      </c>
      <c r="D62" s="44" t="n">
        <v>7</v>
      </c>
      <c r="E62" s="44" t="n">
        <v>193</v>
      </c>
      <c r="F62" s="44"/>
      <c r="G62" s="44" t="n">
        <v>459</v>
      </c>
      <c r="H62" s="44" t="n">
        <f aca="false">B62+D62+E62+F62+G62+C62</f>
        <v>846</v>
      </c>
      <c r="I62" s="45"/>
      <c r="J62" s="49"/>
      <c r="K62" s="49"/>
      <c r="L62" s="49"/>
      <c r="M62" s="49"/>
      <c r="N62" s="49"/>
      <c r="O62" s="49" t="n">
        <v>20</v>
      </c>
      <c r="P62" s="49" t="n">
        <v>147</v>
      </c>
      <c r="Q62" s="49" t="n">
        <v>50</v>
      </c>
      <c r="R62" s="49" t="n">
        <v>60</v>
      </c>
      <c r="S62" s="49" t="n">
        <v>22</v>
      </c>
      <c r="T62" s="49"/>
      <c r="U62" s="49" t="n">
        <v>3</v>
      </c>
      <c r="V62" s="47" t="n">
        <f aca="false">J62+K62+L62+M62+N62+O62+P62+Q62+R62+S62+T62+U62</f>
        <v>302</v>
      </c>
      <c r="W62" s="47" t="n">
        <f aca="false">H62-V62</f>
        <v>544</v>
      </c>
      <c r="X62" s="48" t="n">
        <v>9.3</v>
      </c>
      <c r="Y62" s="48" t="n">
        <f aca="false">B62*$X62</f>
        <v>1590.3</v>
      </c>
      <c r="Z62" s="48" t="n">
        <f aca="false">C62*$X62</f>
        <v>148.8</v>
      </c>
      <c r="AA62" s="48" t="n">
        <f aca="false">D62*$X62</f>
        <v>65.1</v>
      </c>
      <c r="AB62" s="48" t="n">
        <f aca="false">E62*$X62</f>
        <v>1794.9</v>
      </c>
      <c r="AC62" s="48" t="n">
        <f aca="false">F62*$X62</f>
        <v>0</v>
      </c>
      <c r="AD62" s="48" t="n">
        <f aca="false">G62*$X62</f>
        <v>4268.7</v>
      </c>
      <c r="AE62" s="48" t="n">
        <f aca="false">H62*$X62</f>
        <v>7867.8</v>
      </c>
      <c r="AF62" s="48" t="n">
        <f aca="false">I62*$X62</f>
        <v>0</v>
      </c>
      <c r="AG62" s="48" t="n">
        <f aca="false">J62*$X62</f>
        <v>0</v>
      </c>
      <c r="AH62" s="48" t="n">
        <f aca="false">K62*$X62</f>
        <v>0</v>
      </c>
      <c r="AI62" s="48" t="n">
        <f aca="false">L62*$X62</f>
        <v>0</v>
      </c>
      <c r="AJ62" s="48" t="n">
        <f aca="false">M62*$X62</f>
        <v>0</v>
      </c>
      <c r="AK62" s="48" t="n">
        <f aca="false">N62*$X62</f>
        <v>0</v>
      </c>
      <c r="AL62" s="48" t="n">
        <f aca="false">O62*$X62</f>
        <v>186</v>
      </c>
      <c r="AM62" s="48" t="n">
        <f aca="false">P62*$X62</f>
        <v>1367.1</v>
      </c>
      <c r="AN62" s="48" t="n">
        <f aca="false">Q62*$X62</f>
        <v>465</v>
      </c>
      <c r="AO62" s="48" t="n">
        <f aca="false">R62*$X62</f>
        <v>558</v>
      </c>
      <c r="AP62" s="48" t="n">
        <f aca="false">S62*$X62</f>
        <v>204.6</v>
      </c>
      <c r="AQ62" s="48" t="n">
        <f aca="false">T62*$X62</f>
        <v>0</v>
      </c>
      <c r="AR62" s="48" t="n">
        <f aca="false">U62*$X62</f>
        <v>27.9</v>
      </c>
      <c r="AS62" s="48" t="n">
        <f aca="false">V62*$X62</f>
        <v>2808.6</v>
      </c>
      <c r="AT62" s="48" t="n">
        <f aca="false">W62*$X62</f>
        <v>5059.2</v>
      </c>
      <c r="AU62" s="48" t="n">
        <f aca="false">X62*$X62</f>
        <v>86.49</v>
      </c>
      <c r="AV62" s="48" t="n">
        <f aca="false">Y62*$X62</f>
        <v>14789.79</v>
      </c>
      <c r="AW62" s="48" t="n">
        <f aca="false">Z62*$X62</f>
        <v>1383.84</v>
      </c>
      <c r="AX62" s="48" t="n">
        <f aca="false">AA62*$X62</f>
        <v>605.43</v>
      </c>
      <c r="AY62" s="48" t="n">
        <f aca="false">AB62*$X62</f>
        <v>16692.57</v>
      </c>
      <c r="AZ62" s="48" t="n">
        <f aca="false">AC62*$X62</f>
        <v>0</v>
      </c>
      <c r="BA62" s="1"/>
      <c r="BB62" s="1"/>
      <c r="BC62" s="1"/>
      <c r="BD62" s="1"/>
      <c r="BE62" s="1"/>
      <c r="BF62" s="1"/>
    </row>
    <row r="63" s="48" customFormat="true" ht="15" hidden="false" customHeight="true" outlineLevel="0" collapsed="false">
      <c r="A63" s="42" t="s">
        <v>132</v>
      </c>
      <c r="B63" s="42" t="n">
        <v>0</v>
      </c>
      <c r="C63" s="43"/>
      <c r="D63" s="44"/>
      <c r="E63" s="44"/>
      <c r="F63" s="44"/>
      <c r="G63" s="44"/>
      <c r="H63" s="44" t="n">
        <f aca="false">B63+D63+E63+F63+G63+C63</f>
        <v>0</v>
      </c>
      <c r="I63" s="45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7" t="n">
        <f aca="false">J63+K63+L63+M63+N63+O63+P63+Q63+R63+S63+T63+U63</f>
        <v>0</v>
      </c>
      <c r="W63" s="47" t="n">
        <f aca="false">H63-V63</f>
        <v>0</v>
      </c>
      <c r="X63" s="48" t="n">
        <v>5.4</v>
      </c>
      <c r="Y63" s="48" t="n">
        <f aca="false">B63*$X63</f>
        <v>0</v>
      </c>
      <c r="Z63" s="48" t="n">
        <f aca="false">C63*$X63</f>
        <v>0</v>
      </c>
      <c r="AA63" s="48" t="n">
        <f aca="false">D63*$X63</f>
        <v>0</v>
      </c>
      <c r="AB63" s="48" t="n">
        <f aca="false">E63*$X63</f>
        <v>0</v>
      </c>
      <c r="AC63" s="48" t="n">
        <f aca="false">F63*$X63</f>
        <v>0</v>
      </c>
      <c r="AD63" s="48" t="n">
        <f aca="false">G63*$X63</f>
        <v>0</v>
      </c>
      <c r="AE63" s="48" t="n">
        <f aca="false">H63*$X63</f>
        <v>0</v>
      </c>
      <c r="AF63" s="48" t="n">
        <f aca="false">I63*$X63</f>
        <v>0</v>
      </c>
      <c r="AG63" s="48" t="n">
        <f aca="false">J63*$X63</f>
        <v>0</v>
      </c>
      <c r="AH63" s="48" t="n">
        <f aca="false">K63*$X63</f>
        <v>0</v>
      </c>
      <c r="AI63" s="48" t="n">
        <f aca="false">L63*$X63</f>
        <v>0</v>
      </c>
      <c r="AJ63" s="48" t="n">
        <f aca="false">M63*$X63</f>
        <v>0</v>
      </c>
      <c r="AK63" s="48" t="n">
        <f aca="false">N63*$X63</f>
        <v>0</v>
      </c>
      <c r="AL63" s="48" t="n">
        <f aca="false">O63*$X63</f>
        <v>0</v>
      </c>
      <c r="AM63" s="48" t="n">
        <f aca="false">P63*$X63</f>
        <v>0</v>
      </c>
      <c r="AN63" s="48" t="n">
        <f aca="false">Q63*$X63</f>
        <v>0</v>
      </c>
      <c r="AO63" s="48" t="n">
        <f aca="false">R63*$X63</f>
        <v>0</v>
      </c>
      <c r="AP63" s="48" t="n">
        <f aca="false">S63*$X63</f>
        <v>0</v>
      </c>
      <c r="AQ63" s="48" t="n">
        <f aca="false">T63*$X63</f>
        <v>0</v>
      </c>
      <c r="AR63" s="48" t="n">
        <f aca="false">U63*$X63</f>
        <v>0</v>
      </c>
      <c r="AS63" s="48" t="n">
        <f aca="false">V63*$X63</f>
        <v>0</v>
      </c>
      <c r="AT63" s="48" t="n">
        <f aca="false">W63*$X63</f>
        <v>0</v>
      </c>
      <c r="AU63" s="48" t="n">
        <f aca="false">X63*$X63</f>
        <v>29.16</v>
      </c>
      <c r="AV63" s="48" t="n">
        <f aca="false">Y63*$X63</f>
        <v>0</v>
      </c>
      <c r="AW63" s="48" t="n">
        <f aca="false">Z63*$X63</f>
        <v>0</v>
      </c>
      <c r="AX63" s="48" t="n">
        <f aca="false">AA63*$X63</f>
        <v>0</v>
      </c>
      <c r="AY63" s="48" t="n">
        <f aca="false">AB63*$X63</f>
        <v>0</v>
      </c>
      <c r="AZ63" s="48" t="n">
        <f aca="false">AC63*$X63</f>
        <v>0</v>
      </c>
      <c r="BA63" s="1"/>
      <c r="BB63" s="1"/>
      <c r="BC63" s="1"/>
      <c r="BD63" s="1"/>
      <c r="BE63" s="1"/>
      <c r="BF63" s="1"/>
    </row>
    <row r="64" s="48" customFormat="true" ht="15" hidden="false" customHeight="true" outlineLevel="0" collapsed="false">
      <c r="A64" s="42" t="s">
        <v>133</v>
      </c>
      <c r="B64" s="42" t="n">
        <v>0</v>
      </c>
      <c r="C64" s="43"/>
      <c r="D64" s="44"/>
      <c r="E64" s="44"/>
      <c r="F64" s="44"/>
      <c r="G64" s="44"/>
      <c r="H64" s="44" t="n">
        <f aca="false">B64+D64+E64+F64+G64+C64</f>
        <v>0</v>
      </c>
      <c r="I64" s="45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7" t="n">
        <f aca="false">J64+K64+L64+M64+N64+O64+P64+Q64+R64+S64+T64+U64</f>
        <v>0</v>
      </c>
      <c r="W64" s="47" t="n">
        <f aca="false">H64-V64</f>
        <v>0</v>
      </c>
      <c r="X64" s="48" t="n">
        <v>8.1</v>
      </c>
      <c r="Y64" s="48" t="n">
        <f aca="false">B64*$X64</f>
        <v>0</v>
      </c>
      <c r="Z64" s="48" t="n">
        <f aca="false">C64*$X64</f>
        <v>0</v>
      </c>
      <c r="AA64" s="48" t="n">
        <f aca="false">D64*$X64</f>
        <v>0</v>
      </c>
      <c r="AB64" s="48" t="n">
        <f aca="false">E64*$X64</f>
        <v>0</v>
      </c>
      <c r="AC64" s="48" t="n">
        <f aca="false">F64*$X64</f>
        <v>0</v>
      </c>
      <c r="AD64" s="48" t="n">
        <f aca="false">G64*$X64</f>
        <v>0</v>
      </c>
      <c r="AE64" s="48" t="n">
        <f aca="false">H64*$X64</f>
        <v>0</v>
      </c>
      <c r="AF64" s="48" t="n">
        <f aca="false">I64*$X64</f>
        <v>0</v>
      </c>
      <c r="AG64" s="48" t="n">
        <f aca="false">J64*$X64</f>
        <v>0</v>
      </c>
      <c r="AH64" s="48" t="n">
        <f aca="false">K64*$X64</f>
        <v>0</v>
      </c>
      <c r="AI64" s="48" t="n">
        <f aca="false">L64*$X64</f>
        <v>0</v>
      </c>
      <c r="AJ64" s="48" t="n">
        <f aca="false">M64*$X64</f>
        <v>0</v>
      </c>
      <c r="AK64" s="48" t="n">
        <f aca="false">N64*$X64</f>
        <v>0</v>
      </c>
      <c r="AL64" s="48" t="n">
        <f aca="false">O64*$X64</f>
        <v>0</v>
      </c>
      <c r="AM64" s="48" t="n">
        <f aca="false">P64*$X64</f>
        <v>0</v>
      </c>
      <c r="AN64" s="48" t="n">
        <f aca="false">Q64*$X64</f>
        <v>0</v>
      </c>
      <c r="AO64" s="48" t="n">
        <f aca="false">R64*$X64</f>
        <v>0</v>
      </c>
      <c r="AP64" s="48" t="n">
        <f aca="false">S64*$X64</f>
        <v>0</v>
      </c>
      <c r="AQ64" s="48" t="n">
        <f aca="false">T64*$X64</f>
        <v>0</v>
      </c>
      <c r="AR64" s="48" t="n">
        <f aca="false">U64*$X64</f>
        <v>0</v>
      </c>
      <c r="AS64" s="48" t="n">
        <f aca="false">V64*$X64</f>
        <v>0</v>
      </c>
      <c r="AT64" s="48" t="n">
        <f aca="false">W64*$X64</f>
        <v>0</v>
      </c>
      <c r="AU64" s="48" t="n">
        <f aca="false">X64*$X64</f>
        <v>65.61</v>
      </c>
      <c r="AV64" s="48" t="n">
        <f aca="false">Y64*$X64</f>
        <v>0</v>
      </c>
      <c r="AW64" s="48" t="n">
        <f aca="false">Z64*$X64</f>
        <v>0</v>
      </c>
      <c r="AX64" s="48" t="n">
        <f aca="false">AA64*$X64</f>
        <v>0</v>
      </c>
      <c r="AY64" s="48" t="n">
        <f aca="false">AB64*$X64</f>
        <v>0</v>
      </c>
      <c r="AZ64" s="48" t="n">
        <f aca="false">AC64*$X64</f>
        <v>0</v>
      </c>
      <c r="BA64" s="1"/>
      <c r="BB64" s="1"/>
      <c r="BC64" s="1"/>
      <c r="BD64" s="1"/>
      <c r="BE64" s="1"/>
      <c r="BF64" s="1"/>
    </row>
    <row r="65" s="48" customFormat="true" ht="15" hidden="false" customHeight="true" outlineLevel="0" collapsed="false">
      <c r="A65" s="42" t="s">
        <v>134</v>
      </c>
      <c r="B65" s="42" t="n">
        <v>0</v>
      </c>
      <c r="C65" s="43" t="n">
        <v>6</v>
      </c>
      <c r="D65" s="44" t="n">
        <v>38</v>
      </c>
      <c r="E65" s="44" t="n">
        <v>14</v>
      </c>
      <c r="F65" s="44"/>
      <c r="G65" s="44"/>
      <c r="H65" s="44" t="n">
        <f aca="false">B65+D65+E65+F65+G65+C65</f>
        <v>58</v>
      </c>
      <c r="I65" s="45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 t="n">
        <v>3</v>
      </c>
      <c r="V65" s="47" t="n">
        <f aca="false">J65+K65+L65+M65+N65+O65+P65+Q65+R65+S65+T65+U65</f>
        <v>3</v>
      </c>
      <c r="W65" s="47" t="n">
        <f aca="false">H65-V65</f>
        <v>55</v>
      </c>
      <c r="X65" s="48" t="n">
        <v>10.8</v>
      </c>
      <c r="Y65" s="48" t="n">
        <f aca="false">B65*$X65</f>
        <v>0</v>
      </c>
      <c r="Z65" s="48" t="n">
        <f aca="false">C65*$X65</f>
        <v>64.8</v>
      </c>
      <c r="AA65" s="48" t="n">
        <f aca="false">D65*$X65</f>
        <v>410.4</v>
      </c>
      <c r="AB65" s="48" t="n">
        <f aca="false">E65*$X65</f>
        <v>151.2</v>
      </c>
      <c r="AC65" s="48" t="n">
        <f aca="false">F65*$X65</f>
        <v>0</v>
      </c>
      <c r="AD65" s="48" t="n">
        <f aca="false">G65*$X65</f>
        <v>0</v>
      </c>
      <c r="AE65" s="48" t="n">
        <f aca="false">H65*$X65</f>
        <v>626.4</v>
      </c>
      <c r="AF65" s="48" t="n">
        <f aca="false">I65*$X65</f>
        <v>0</v>
      </c>
      <c r="AG65" s="48" t="n">
        <f aca="false">J65*$X65</f>
        <v>0</v>
      </c>
      <c r="AH65" s="48" t="n">
        <f aca="false">K65*$X65</f>
        <v>0</v>
      </c>
      <c r="AI65" s="48" t="n">
        <f aca="false">L65*$X65</f>
        <v>0</v>
      </c>
      <c r="AJ65" s="48" t="n">
        <f aca="false">M65*$X65</f>
        <v>0</v>
      </c>
      <c r="AK65" s="48" t="n">
        <f aca="false">N65*$X65</f>
        <v>0</v>
      </c>
      <c r="AL65" s="48" t="n">
        <f aca="false">O65*$X65</f>
        <v>0</v>
      </c>
      <c r="AM65" s="48" t="n">
        <f aca="false">P65*$X65</f>
        <v>0</v>
      </c>
      <c r="AN65" s="48" t="n">
        <f aca="false">Q65*$X65</f>
        <v>0</v>
      </c>
      <c r="AO65" s="48" t="n">
        <f aca="false">R65*$X65</f>
        <v>0</v>
      </c>
      <c r="AP65" s="48" t="n">
        <f aca="false">S65*$X65</f>
        <v>0</v>
      </c>
      <c r="AQ65" s="48" t="n">
        <f aca="false">T65*$X65</f>
        <v>0</v>
      </c>
      <c r="AR65" s="48" t="n">
        <f aca="false">U65*$X65</f>
        <v>32.4</v>
      </c>
      <c r="AS65" s="48" t="n">
        <f aca="false">V65*$X65</f>
        <v>32.4</v>
      </c>
      <c r="AT65" s="48" t="n">
        <f aca="false">W65*$X65</f>
        <v>594</v>
      </c>
      <c r="AU65" s="48" t="n">
        <f aca="false">X65*$X65</f>
        <v>116.64</v>
      </c>
      <c r="AV65" s="48" t="n">
        <f aca="false">Y65*$X65</f>
        <v>0</v>
      </c>
      <c r="AW65" s="48" t="n">
        <f aca="false">Z65*$X65</f>
        <v>699.84</v>
      </c>
      <c r="AX65" s="48" t="n">
        <f aca="false">AA65*$X65</f>
        <v>4432.32</v>
      </c>
      <c r="AY65" s="48" t="n">
        <f aca="false">AB65*$X65</f>
        <v>1632.96</v>
      </c>
      <c r="AZ65" s="48" t="n">
        <f aca="false">AC65*$X65</f>
        <v>0</v>
      </c>
      <c r="BA65" s="1"/>
      <c r="BB65" s="1"/>
      <c r="BC65" s="1"/>
      <c r="BD65" s="1"/>
      <c r="BE65" s="1"/>
      <c r="BF65" s="1"/>
    </row>
    <row r="66" s="48" customFormat="true" ht="15" hidden="false" customHeight="true" outlineLevel="0" collapsed="false">
      <c r="A66" s="42" t="s">
        <v>135</v>
      </c>
      <c r="B66" s="42" t="n">
        <v>0</v>
      </c>
      <c r="C66" s="43"/>
      <c r="D66" s="44"/>
      <c r="E66" s="44"/>
      <c r="F66" s="44"/>
      <c r="G66" s="44"/>
      <c r="H66" s="44" t="n">
        <f aca="false">B66+D66+E66+F66+G66+C66</f>
        <v>0</v>
      </c>
      <c r="I66" s="45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7" t="n">
        <f aca="false">J66+K66+L66+M66+N66+O66+P66+Q66+R66+S66+T66+U66</f>
        <v>0</v>
      </c>
      <c r="W66" s="47" t="n">
        <f aca="false">H66-V66</f>
        <v>0</v>
      </c>
      <c r="X66" s="48" t="n">
        <v>10.8</v>
      </c>
      <c r="Y66" s="48" t="n">
        <f aca="false">B66*$X66</f>
        <v>0</v>
      </c>
      <c r="Z66" s="48" t="n">
        <f aca="false">C66*$X66</f>
        <v>0</v>
      </c>
      <c r="AA66" s="48" t="n">
        <f aca="false">D66*$X66</f>
        <v>0</v>
      </c>
      <c r="AB66" s="48" t="n">
        <f aca="false">E66*$X66</f>
        <v>0</v>
      </c>
      <c r="AC66" s="48" t="n">
        <f aca="false">F66*$X66</f>
        <v>0</v>
      </c>
      <c r="AD66" s="48" t="n">
        <f aca="false">G66*$X66</f>
        <v>0</v>
      </c>
      <c r="AE66" s="48" t="n">
        <f aca="false">H66*$X66</f>
        <v>0</v>
      </c>
      <c r="AF66" s="48" t="n">
        <f aca="false">I66*$X66</f>
        <v>0</v>
      </c>
      <c r="AG66" s="48" t="n">
        <f aca="false">J66*$X66</f>
        <v>0</v>
      </c>
      <c r="AH66" s="48" t="n">
        <f aca="false">K66*$X66</f>
        <v>0</v>
      </c>
      <c r="AI66" s="48" t="n">
        <f aca="false">L66*$X66</f>
        <v>0</v>
      </c>
      <c r="AJ66" s="48" t="n">
        <f aca="false">M66*$X66</f>
        <v>0</v>
      </c>
      <c r="AK66" s="48" t="n">
        <f aca="false">N66*$X66</f>
        <v>0</v>
      </c>
      <c r="AL66" s="48" t="n">
        <f aca="false">O66*$X66</f>
        <v>0</v>
      </c>
      <c r="AM66" s="48" t="n">
        <f aca="false">P66*$X66</f>
        <v>0</v>
      </c>
      <c r="AN66" s="48" t="n">
        <f aca="false">Q66*$X66</f>
        <v>0</v>
      </c>
      <c r="AO66" s="48" t="n">
        <f aca="false">R66*$X66</f>
        <v>0</v>
      </c>
      <c r="AP66" s="48" t="n">
        <f aca="false">S66*$X66</f>
        <v>0</v>
      </c>
      <c r="AQ66" s="48" t="n">
        <f aca="false">T66*$X66</f>
        <v>0</v>
      </c>
      <c r="AR66" s="48" t="n">
        <f aca="false">U66*$X66</f>
        <v>0</v>
      </c>
      <c r="AS66" s="48" t="n">
        <f aca="false">V66*$X66</f>
        <v>0</v>
      </c>
      <c r="AT66" s="48" t="n">
        <f aca="false">W66*$X66</f>
        <v>0</v>
      </c>
      <c r="AU66" s="48" t="n">
        <f aca="false">X66*$X66</f>
        <v>116.64</v>
      </c>
      <c r="AV66" s="48" t="n">
        <f aca="false">Y66*$X66</f>
        <v>0</v>
      </c>
      <c r="AW66" s="48" t="n">
        <f aca="false">Z66*$X66</f>
        <v>0</v>
      </c>
      <c r="AX66" s="48" t="n">
        <f aca="false">AA66*$X66</f>
        <v>0</v>
      </c>
      <c r="AY66" s="48" t="n">
        <f aca="false">AB66*$X66</f>
        <v>0</v>
      </c>
      <c r="AZ66" s="48" t="n">
        <f aca="false">AC66*$X66</f>
        <v>0</v>
      </c>
      <c r="BA66" s="1"/>
      <c r="BB66" s="1"/>
      <c r="BC66" s="1"/>
      <c r="BD66" s="1"/>
      <c r="BE66" s="1"/>
      <c r="BF66" s="1"/>
    </row>
    <row r="67" s="48" customFormat="true" ht="15" hidden="false" customHeight="true" outlineLevel="0" collapsed="false">
      <c r="A67" s="42" t="s">
        <v>136</v>
      </c>
      <c r="B67" s="42" t="n">
        <v>0</v>
      </c>
      <c r="C67" s="43"/>
      <c r="D67" s="44"/>
      <c r="E67" s="44"/>
      <c r="F67" s="44"/>
      <c r="G67" s="44"/>
      <c r="H67" s="44" t="n">
        <f aca="false">B67+D67+E67+F67+G67+C67</f>
        <v>0</v>
      </c>
      <c r="I67" s="45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7" t="n">
        <f aca="false">J67+K67+L67+M67+N67+O67+P67+Q67+R67+S67+T67+U67</f>
        <v>0</v>
      </c>
      <c r="W67" s="47" t="n">
        <f aca="false">H67-V67</f>
        <v>0</v>
      </c>
      <c r="X67" s="48" t="n">
        <v>10.8</v>
      </c>
      <c r="Y67" s="48" t="n">
        <f aca="false">B67*$X67</f>
        <v>0</v>
      </c>
      <c r="Z67" s="48" t="n">
        <f aca="false">C67*$X67</f>
        <v>0</v>
      </c>
      <c r="AA67" s="48" t="n">
        <f aca="false">D67*$X67</f>
        <v>0</v>
      </c>
      <c r="AB67" s="48" t="n">
        <f aca="false">E67*$X67</f>
        <v>0</v>
      </c>
      <c r="AC67" s="48" t="n">
        <f aca="false">F67*$X67</f>
        <v>0</v>
      </c>
      <c r="AD67" s="48" t="n">
        <f aca="false">G67*$X67</f>
        <v>0</v>
      </c>
      <c r="AE67" s="48" t="n">
        <f aca="false">H67*$X67</f>
        <v>0</v>
      </c>
      <c r="AF67" s="48" t="n">
        <f aca="false">I67*$X67</f>
        <v>0</v>
      </c>
      <c r="AG67" s="48" t="n">
        <f aca="false">J67*$X67</f>
        <v>0</v>
      </c>
      <c r="AH67" s="48" t="n">
        <f aca="false">K67*$X67</f>
        <v>0</v>
      </c>
      <c r="AI67" s="48" t="n">
        <f aca="false">L67*$X67</f>
        <v>0</v>
      </c>
      <c r="AJ67" s="48" t="n">
        <f aca="false">M67*$X67</f>
        <v>0</v>
      </c>
      <c r="AK67" s="48" t="n">
        <f aca="false">N67*$X67</f>
        <v>0</v>
      </c>
      <c r="AL67" s="48" t="n">
        <f aca="false">O67*$X67</f>
        <v>0</v>
      </c>
      <c r="AM67" s="48" t="n">
        <f aca="false">P67*$X67</f>
        <v>0</v>
      </c>
      <c r="AN67" s="48" t="n">
        <f aca="false">Q67*$X67</f>
        <v>0</v>
      </c>
      <c r="AO67" s="48" t="n">
        <f aca="false">R67*$X67</f>
        <v>0</v>
      </c>
      <c r="AP67" s="48" t="n">
        <f aca="false">S67*$X67</f>
        <v>0</v>
      </c>
      <c r="AQ67" s="48" t="n">
        <f aca="false">T67*$X67</f>
        <v>0</v>
      </c>
      <c r="AR67" s="48" t="n">
        <f aca="false">U67*$X67</f>
        <v>0</v>
      </c>
      <c r="AS67" s="48" t="n">
        <f aca="false">V67*$X67</f>
        <v>0</v>
      </c>
      <c r="AT67" s="48" t="n">
        <f aca="false">W67*$X67</f>
        <v>0</v>
      </c>
      <c r="AU67" s="48" t="n">
        <f aca="false">X67*$X67</f>
        <v>116.64</v>
      </c>
      <c r="AV67" s="48" t="n">
        <f aca="false">Y67*$X67</f>
        <v>0</v>
      </c>
      <c r="AW67" s="48" t="n">
        <f aca="false">Z67*$X67</f>
        <v>0</v>
      </c>
      <c r="AX67" s="48" t="n">
        <f aca="false">AA67*$X67</f>
        <v>0</v>
      </c>
      <c r="AY67" s="48" t="n">
        <f aca="false">AB67*$X67</f>
        <v>0</v>
      </c>
      <c r="AZ67" s="48" t="n">
        <f aca="false">AC67*$X67</f>
        <v>0</v>
      </c>
      <c r="BA67" s="1"/>
      <c r="BB67" s="1"/>
      <c r="BC67" s="1"/>
      <c r="BD67" s="1"/>
      <c r="BE67" s="1"/>
      <c r="BF67" s="1"/>
    </row>
    <row r="68" s="48" customFormat="true" ht="15" hidden="false" customHeight="true" outlineLevel="0" collapsed="false">
      <c r="A68" s="42" t="s">
        <v>137</v>
      </c>
      <c r="B68" s="42" t="n">
        <v>362</v>
      </c>
      <c r="C68" s="43" t="n">
        <v>24</v>
      </c>
      <c r="D68" s="44"/>
      <c r="E68" s="44" t="n">
        <v>133</v>
      </c>
      <c r="F68" s="44"/>
      <c r="G68" s="44" t="n">
        <v>103</v>
      </c>
      <c r="H68" s="44" t="n">
        <f aca="false">B68+D68+E68+F68+G68+C68</f>
        <v>622</v>
      </c>
      <c r="I68" s="45"/>
      <c r="J68" s="49"/>
      <c r="K68" s="49"/>
      <c r="L68" s="49"/>
      <c r="M68" s="49"/>
      <c r="N68" s="49"/>
      <c r="O68" s="49"/>
      <c r="P68" s="49"/>
      <c r="Q68" s="49"/>
      <c r="R68" s="49" t="n">
        <v>33</v>
      </c>
      <c r="S68" s="49" t="n">
        <v>197</v>
      </c>
      <c r="T68" s="49"/>
      <c r="U68" s="49"/>
      <c r="V68" s="47" t="n">
        <f aca="false">J68+K68+L68+M68+N68+O68+P68+Q68+R68+S68+T68+U68</f>
        <v>230</v>
      </c>
      <c r="W68" s="47" t="n">
        <f aca="false">H68-V68</f>
        <v>392</v>
      </c>
      <c r="X68" s="48" t="n">
        <v>4.4</v>
      </c>
      <c r="Y68" s="48" t="n">
        <f aca="false">B68*$X68</f>
        <v>1592.8</v>
      </c>
      <c r="Z68" s="48" t="n">
        <f aca="false">C68*$X68</f>
        <v>105.6</v>
      </c>
      <c r="AA68" s="48" t="n">
        <f aca="false">D68*$X68</f>
        <v>0</v>
      </c>
      <c r="AB68" s="48" t="n">
        <f aca="false">E68*$X68</f>
        <v>585.2</v>
      </c>
      <c r="AC68" s="48" t="n">
        <f aca="false">F68*$X68</f>
        <v>0</v>
      </c>
      <c r="AD68" s="48" t="n">
        <f aca="false">G68*$X68</f>
        <v>453.2</v>
      </c>
      <c r="AE68" s="48" t="n">
        <f aca="false">H68*$X68</f>
        <v>2736.8</v>
      </c>
      <c r="AF68" s="48" t="n">
        <f aca="false">I68*$X68</f>
        <v>0</v>
      </c>
      <c r="AG68" s="48" t="n">
        <f aca="false">J68*$X68</f>
        <v>0</v>
      </c>
      <c r="AH68" s="48" t="n">
        <f aca="false">K68*$X68</f>
        <v>0</v>
      </c>
      <c r="AI68" s="48" t="n">
        <f aca="false">L68*$X68</f>
        <v>0</v>
      </c>
      <c r="AJ68" s="48" t="n">
        <f aca="false">M68*$X68</f>
        <v>0</v>
      </c>
      <c r="AK68" s="48" t="n">
        <f aca="false">N68*$X68</f>
        <v>0</v>
      </c>
      <c r="AL68" s="48" t="n">
        <f aca="false">O68*$X68</f>
        <v>0</v>
      </c>
      <c r="AM68" s="48" t="n">
        <f aca="false">P68*$X68</f>
        <v>0</v>
      </c>
      <c r="AN68" s="48" t="n">
        <f aca="false">Q68*$X68</f>
        <v>0</v>
      </c>
      <c r="AO68" s="48" t="n">
        <f aca="false">R68*$X68</f>
        <v>145.2</v>
      </c>
      <c r="AP68" s="48" t="n">
        <f aca="false">S68*$X68</f>
        <v>866.8</v>
      </c>
      <c r="AQ68" s="48" t="n">
        <f aca="false">T68*$X68</f>
        <v>0</v>
      </c>
      <c r="AR68" s="48" t="n">
        <f aca="false">U68*$X68</f>
        <v>0</v>
      </c>
      <c r="AS68" s="48" t="n">
        <f aca="false">V68*$X68</f>
        <v>1012</v>
      </c>
      <c r="AT68" s="48" t="n">
        <f aca="false">W68*$X68</f>
        <v>1724.8</v>
      </c>
      <c r="AU68" s="48" t="n">
        <f aca="false">X68*$X68</f>
        <v>19.36</v>
      </c>
      <c r="AV68" s="48" t="n">
        <f aca="false">Y68*$X68</f>
        <v>7008.32</v>
      </c>
      <c r="AW68" s="48" t="n">
        <f aca="false">Z68*$X68</f>
        <v>464.64</v>
      </c>
      <c r="AX68" s="48" t="n">
        <f aca="false">AA68*$X68</f>
        <v>0</v>
      </c>
      <c r="AY68" s="48" t="n">
        <f aca="false">AB68*$X68</f>
        <v>2574.88</v>
      </c>
      <c r="AZ68" s="48" t="n">
        <f aca="false">AC68*$X68</f>
        <v>0</v>
      </c>
      <c r="BA68" s="1"/>
      <c r="BB68" s="1"/>
      <c r="BC68" s="1"/>
      <c r="BD68" s="1"/>
      <c r="BE68" s="1"/>
      <c r="BF68" s="1"/>
    </row>
    <row r="69" s="48" customFormat="true" ht="15" hidden="false" customHeight="true" outlineLevel="0" collapsed="false">
      <c r="A69" s="42" t="s">
        <v>138</v>
      </c>
      <c r="B69" s="42" t="n">
        <v>1</v>
      </c>
      <c r="C69" s="43"/>
      <c r="D69" s="44"/>
      <c r="E69" s="44"/>
      <c r="F69" s="44"/>
      <c r="G69" s="44"/>
      <c r="H69" s="44" t="n">
        <f aca="false">B69+D69+E69+F69+G69+C69</f>
        <v>1</v>
      </c>
      <c r="I69" s="45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7" t="n">
        <f aca="false">J69+K69+L69+M69+N69+O69+P69+Q69+R69+S69+T69+U69</f>
        <v>0</v>
      </c>
      <c r="W69" s="47" t="n">
        <f aca="false">H69-V69</f>
        <v>1</v>
      </c>
      <c r="X69" s="48" t="n">
        <v>15</v>
      </c>
      <c r="Y69" s="48" t="n">
        <f aca="false">B69*$X69</f>
        <v>15</v>
      </c>
      <c r="Z69" s="48" t="n">
        <f aca="false">C69*$X69</f>
        <v>0</v>
      </c>
      <c r="AA69" s="48" t="n">
        <f aca="false">D69*$X69</f>
        <v>0</v>
      </c>
      <c r="AB69" s="48" t="n">
        <f aca="false">E69*$X69</f>
        <v>0</v>
      </c>
      <c r="AC69" s="48" t="n">
        <f aca="false">F69*$X69</f>
        <v>0</v>
      </c>
      <c r="AD69" s="48" t="n">
        <f aca="false">G69*$X69</f>
        <v>0</v>
      </c>
      <c r="AE69" s="48" t="n">
        <f aca="false">H69*$X69</f>
        <v>15</v>
      </c>
      <c r="AF69" s="48" t="n">
        <f aca="false">I69*$X69</f>
        <v>0</v>
      </c>
      <c r="AG69" s="48" t="n">
        <f aca="false">J69*$X69</f>
        <v>0</v>
      </c>
      <c r="AH69" s="48" t="n">
        <f aca="false">K69*$X69</f>
        <v>0</v>
      </c>
      <c r="AI69" s="48" t="n">
        <f aca="false">L69*$X69</f>
        <v>0</v>
      </c>
      <c r="AJ69" s="48" t="n">
        <f aca="false">M69*$X69</f>
        <v>0</v>
      </c>
      <c r="AK69" s="48" t="n">
        <f aca="false">N69*$X69</f>
        <v>0</v>
      </c>
      <c r="AL69" s="48" t="n">
        <f aca="false">O69*$X69</f>
        <v>0</v>
      </c>
      <c r="AM69" s="48" t="n">
        <f aca="false">P69*$X69</f>
        <v>0</v>
      </c>
      <c r="AN69" s="48" t="n">
        <f aca="false">Q69*$X69</f>
        <v>0</v>
      </c>
      <c r="AO69" s="48" t="n">
        <f aca="false">R69*$X69</f>
        <v>0</v>
      </c>
      <c r="AP69" s="48" t="n">
        <f aca="false">S69*$X69</f>
        <v>0</v>
      </c>
      <c r="AQ69" s="48" t="n">
        <f aca="false">T69*$X69</f>
        <v>0</v>
      </c>
      <c r="AR69" s="48" t="n">
        <f aca="false">U69*$X69</f>
        <v>0</v>
      </c>
      <c r="AS69" s="48" t="n">
        <f aca="false">V69*$X69</f>
        <v>0</v>
      </c>
      <c r="AT69" s="48" t="n">
        <f aca="false">W69*$X69</f>
        <v>15</v>
      </c>
      <c r="AU69" s="48" t="n">
        <f aca="false">X69*$X69</f>
        <v>225</v>
      </c>
      <c r="AV69" s="48" t="n">
        <f aca="false">Y69*$X69</f>
        <v>225</v>
      </c>
      <c r="AW69" s="48" t="n">
        <f aca="false">Z69*$X69</f>
        <v>0</v>
      </c>
      <c r="AX69" s="48" t="n">
        <f aca="false">AA69*$X69</f>
        <v>0</v>
      </c>
      <c r="AY69" s="48" t="n">
        <f aca="false">AB69*$X69</f>
        <v>0</v>
      </c>
      <c r="AZ69" s="48" t="n">
        <f aca="false">AC69*$X69</f>
        <v>0</v>
      </c>
      <c r="BA69" s="1"/>
      <c r="BB69" s="1"/>
      <c r="BC69" s="1"/>
      <c r="BD69" s="1"/>
      <c r="BE69" s="1"/>
      <c r="BF69" s="1"/>
    </row>
    <row r="70" s="48" customFormat="true" ht="15" hidden="false" customHeight="true" outlineLevel="0" collapsed="false">
      <c r="A70" s="42" t="s">
        <v>139</v>
      </c>
      <c r="B70" s="42" t="n">
        <v>1</v>
      </c>
      <c r="C70" s="43"/>
      <c r="D70" s="44"/>
      <c r="E70" s="44"/>
      <c r="F70" s="44"/>
      <c r="G70" s="44"/>
      <c r="H70" s="44" t="n">
        <f aca="false">B70+D70+E70+F70+G70+C70</f>
        <v>1</v>
      </c>
      <c r="I70" s="45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7" t="n">
        <f aca="false">J70+K70+L70+M70+N70+O70+P70+Q70+R70+S70+T70+U70</f>
        <v>0</v>
      </c>
      <c r="W70" s="47" t="n">
        <f aca="false">H70-V70</f>
        <v>1</v>
      </c>
      <c r="X70" s="48" t="n">
        <v>15</v>
      </c>
      <c r="Y70" s="48" t="n">
        <f aca="false">B70*$X70</f>
        <v>15</v>
      </c>
      <c r="Z70" s="48" t="n">
        <f aca="false">C70*$X70</f>
        <v>0</v>
      </c>
      <c r="AA70" s="48" t="n">
        <f aca="false">D70*$X70</f>
        <v>0</v>
      </c>
      <c r="AB70" s="48" t="n">
        <f aca="false">E70*$X70</f>
        <v>0</v>
      </c>
      <c r="AC70" s="48" t="n">
        <f aca="false">F70*$X70</f>
        <v>0</v>
      </c>
      <c r="AD70" s="48" t="n">
        <f aca="false">G70*$X70</f>
        <v>0</v>
      </c>
      <c r="AE70" s="48" t="n">
        <f aca="false">H70*$X70</f>
        <v>15</v>
      </c>
      <c r="AF70" s="48" t="n">
        <f aca="false">I70*$X70</f>
        <v>0</v>
      </c>
      <c r="AG70" s="48" t="n">
        <f aca="false">J70*$X70</f>
        <v>0</v>
      </c>
      <c r="AH70" s="48" t="n">
        <f aca="false">K70*$X70</f>
        <v>0</v>
      </c>
      <c r="AI70" s="48" t="n">
        <f aca="false">L70*$X70</f>
        <v>0</v>
      </c>
      <c r="AJ70" s="48" t="n">
        <f aca="false">M70*$X70</f>
        <v>0</v>
      </c>
      <c r="AK70" s="48" t="n">
        <f aca="false">N70*$X70</f>
        <v>0</v>
      </c>
      <c r="AL70" s="48" t="n">
        <f aca="false">O70*$X70</f>
        <v>0</v>
      </c>
      <c r="AM70" s="48" t="n">
        <f aca="false">P70*$X70</f>
        <v>0</v>
      </c>
      <c r="AN70" s="48" t="n">
        <f aca="false">Q70*$X70</f>
        <v>0</v>
      </c>
      <c r="AO70" s="48" t="n">
        <f aca="false">R70*$X70</f>
        <v>0</v>
      </c>
      <c r="AP70" s="48" t="n">
        <f aca="false">S70*$X70</f>
        <v>0</v>
      </c>
      <c r="AQ70" s="48" t="n">
        <f aca="false">T70*$X70</f>
        <v>0</v>
      </c>
      <c r="AR70" s="48" t="n">
        <f aca="false">U70*$X70</f>
        <v>0</v>
      </c>
      <c r="AS70" s="48" t="n">
        <f aca="false">V70*$X70</f>
        <v>0</v>
      </c>
      <c r="AT70" s="48" t="n">
        <f aca="false">W70*$X70</f>
        <v>15</v>
      </c>
      <c r="AU70" s="48" t="n">
        <f aca="false">X70*$X70</f>
        <v>225</v>
      </c>
      <c r="AV70" s="48" t="n">
        <f aca="false">Y70*$X70</f>
        <v>225</v>
      </c>
      <c r="AW70" s="48" t="n">
        <f aca="false">Z70*$X70</f>
        <v>0</v>
      </c>
      <c r="AX70" s="48" t="n">
        <f aca="false">AA70*$X70</f>
        <v>0</v>
      </c>
      <c r="AY70" s="48" t="n">
        <f aca="false">AB70*$X70</f>
        <v>0</v>
      </c>
      <c r="AZ70" s="48" t="n">
        <f aca="false">AC70*$X70</f>
        <v>0</v>
      </c>
      <c r="BA70" s="1"/>
      <c r="BB70" s="1"/>
      <c r="BC70" s="1"/>
      <c r="BD70" s="1"/>
      <c r="BE70" s="1"/>
      <c r="BF70" s="1"/>
    </row>
    <row r="71" s="48" customFormat="true" ht="15" hidden="false" customHeight="true" outlineLevel="0" collapsed="false">
      <c r="A71" s="42" t="s">
        <v>140</v>
      </c>
      <c r="B71" s="42" t="n">
        <v>65</v>
      </c>
      <c r="C71" s="43"/>
      <c r="D71" s="44" t="n">
        <v>9</v>
      </c>
      <c r="E71" s="44" t="n">
        <v>45</v>
      </c>
      <c r="F71" s="44"/>
      <c r="G71" s="44" t="n">
        <v>124</v>
      </c>
      <c r="H71" s="44" t="n">
        <f aca="false">B71+D71+E71+F71+G71+C71</f>
        <v>243</v>
      </c>
      <c r="I71" s="45"/>
      <c r="J71" s="49"/>
      <c r="K71" s="49"/>
      <c r="L71" s="49"/>
      <c r="M71" s="49"/>
      <c r="N71" s="49"/>
      <c r="O71" s="49" t="n">
        <v>12</v>
      </c>
      <c r="P71" s="49" t="n">
        <v>76</v>
      </c>
      <c r="Q71" s="49" t="n">
        <v>6</v>
      </c>
      <c r="R71" s="49" t="n">
        <v>12</v>
      </c>
      <c r="S71" s="49" t="n">
        <v>28</v>
      </c>
      <c r="T71" s="49"/>
      <c r="U71" s="49" t="n">
        <v>6</v>
      </c>
      <c r="V71" s="47" t="n">
        <f aca="false">J71+K71+L71+M71+N71+O71+P71+Q71+R71+S71+T71+U71</f>
        <v>140</v>
      </c>
      <c r="W71" s="47" t="n">
        <f aca="false">H71-V71</f>
        <v>103</v>
      </c>
      <c r="X71" s="48" t="n">
        <v>1.72</v>
      </c>
      <c r="Y71" s="48" t="n">
        <f aca="false">B71*$X71</f>
        <v>111.8</v>
      </c>
      <c r="Z71" s="48" t="n">
        <f aca="false">C71*$X71</f>
        <v>0</v>
      </c>
      <c r="AA71" s="48" t="n">
        <f aca="false">D71*$X71</f>
        <v>15.48</v>
      </c>
      <c r="AB71" s="48" t="n">
        <f aca="false">E71*$X71</f>
        <v>77.4</v>
      </c>
      <c r="AC71" s="48" t="n">
        <f aca="false">F71*$X71</f>
        <v>0</v>
      </c>
      <c r="AD71" s="48" t="n">
        <f aca="false">G71*$X71</f>
        <v>213.28</v>
      </c>
      <c r="AE71" s="48" t="n">
        <f aca="false">H71*$X71</f>
        <v>417.96</v>
      </c>
      <c r="AF71" s="48" t="n">
        <f aca="false">I71*$X71</f>
        <v>0</v>
      </c>
      <c r="AG71" s="48" t="n">
        <f aca="false">J71*$X71</f>
        <v>0</v>
      </c>
      <c r="AH71" s="48" t="n">
        <f aca="false">K71*$X71</f>
        <v>0</v>
      </c>
      <c r="AI71" s="48" t="n">
        <f aca="false">L71*$X71</f>
        <v>0</v>
      </c>
      <c r="AJ71" s="48" t="n">
        <f aca="false">M71*$X71</f>
        <v>0</v>
      </c>
      <c r="AK71" s="48" t="n">
        <f aca="false">N71*$X71</f>
        <v>0</v>
      </c>
      <c r="AL71" s="48" t="n">
        <f aca="false">O71*$X71</f>
        <v>20.64</v>
      </c>
      <c r="AM71" s="48" t="n">
        <f aca="false">P71*$X71</f>
        <v>130.72</v>
      </c>
      <c r="AN71" s="48" t="n">
        <f aca="false">Q71*$X71</f>
        <v>10.32</v>
      </c>
      <c r="AO71" s="48" t="n">
        <f aca="false">R71*$X71</f>
        <v>20.64</v>
      </c>
      <c r="AP71" s="48" t="n">
        <f aca="false">S71*$X71</f>
        <v>48.16</v>
      </c>
      <c r="AQ71" s="48" t="n">
        <f aca="false">T71*$X71</f>
        <v>0</v>
      </c>
      <c r="AR71" s="48" t="n">
        <f aca="false">U71*$X71</f>
        <v>10.32</v>
      </c>
      <c r="AS71" s="48" t="n">
        <f aca="false">V71*$X71</f>
        <v>240.8</v>
      </c>
      <c r="AT71" s="48" t="n">
        <f aca="false">W71*$X71</f>
        <v>177.16</v>
      </c>
      <c r="AU71" s="48" t="n">
        <f aca="false">X71*$X71</f>
        <v>2.9584</v>
      </c>
      <c r="AV71" s="48" t="n">
        <f aca="false">Y71*$X71</f>
        <v>192.296</v>
      </c>
      <c r="AW71" s="48" t="n">
        <f aca="false">Z71*$X71</f>
        <v>0</v>
      </c>
      <c r="AX71" s="48" t="n">
        <f aca="false">AA71*$X71</f>
        <v>26.6256</v>
      </c>
      <c r="AY71" s="48" t="n">
        <f aca="false">AB71*$X71</f>
        <v>133.128</v>
      </c>
      <c r="AZ71" s="48" t="n">
        <f aca="false">AC71*$X71</f>
        <v>0</v>
      </c>
      <c r="BA71" s="1"/>
      <c r="BB71" s="1"/>
      <c r="BC71" s="1"/>
      <c r="BD71" s="1"/>
      <c r="BE71" s="1"/>
      <c r="BF71" s="1"/>
    </row>
    <row r="72" s="48" customFormat="true" ht="15" hidden="false" customHeight="true" outlineLevel="0" collapsed="false">
      <c r="A72" s="42" t="s">
        <v>141</v>
      </c>
      <c r="B72" s="42" t="n">
        <v>43</v>
      </c>
      <c r="C72" s="43" t="n">
        <v>4</v>
      </c>
      <c r="D72" s="44" t="n">
        <v>2</v>
      </c>
      <c r="E72" s="44" t="n">
        <v>70</v>
      </c>
      <c r="F72" s="44"/>
      <c r="G72" s="44" t="n">
        <v>98</v>
      </c>
      <c r="H72" s="44" t="n">
        <f aca="false">B72+D72+E72+F72+G72+C72</f>
        <v>217</v>
      </c>
      <c r="I72" s="45"/>
      <c r="J72" s="49"/>
      <c r="K72" s="49"/>
      <c r="L72" s="49"/>
      <c r="M72" s="49"/>
      <c r="N72" s="49"/>
      <c r="O72" s="49"/>
      <c r="P72" s="49"/>
      <c r="Q72" s="49" t="n">
        <v>44</v>
      </c>
      <c r="R72" s="49" t="n">
        <v>46</v>
      </c>
      <c r="S72" s="49" t="n">
        <v>1</v>
      </c>
      <c r="T72" s="49"/>
      <c r="U72" s="49"/>
      <c r="V72" s="47" t="n">
        <f aca="false">J72+K72+L72+M72+N72+O72+P72+Q72+R72+S72+T72+U72</f>
        <v>91</v>
      </c>
      <c r="W72" s="47" t="n">
        <f aca="false">H72-V72</f>
        <v>126</v>
      </c>
      <c r="X72" s="48" t="n">
        <v>3.25</v>
      </c>
      <c r="Y72" s="48" t="n">
        <f aca="false">B72*$X72</f>
        <v>139.75</v>
      </c>
      <c r="Z72" s="48" t="n">
        <f aca="false">C72*$X72</f>
        <v>13</v>
      </c>
      <c r="AA72" s="48" t="n">
        <f aca="false">D72*$X72</f>
        <v>6.5</v>
      </c>
      <c r="AB72" s="48" t="n">
        <f aca="false">E72*$X72</f>
        <v>227.5</v>
      </c>
      <c r="AC72" s="48" t="n">
        <f aca="false">F72*$X72</f>
        <v>0</v>
      </c>
      <c r="AD72" s="48" t="n">
        <f aca="false">G72*$X72</f>
        <v>318.5</v>
      </c>
      <c r="AE72" s="48" t="n">
        <f aca="false">H72*$X72</f>
        <v>705.25</v>
      </c>
      <c r="AF72" s="48" t="n">
        <f aca="false">I72*$X72</f>
        <v>0</v>
      </c>
      <c r="AG72" s="48" t="n">
        <f aca="false">J72*$X72</f>
        <v>0</v>
      </c>
      <c r="AH72" s="48" t="n">
        <f aca="false">K72*$X72</f>
        <v>0</v>
      </c>
      <c r="AI72" s="48" t="n">
        <f aca="false">L72*$X72</f>
        <v>0</v>
      </c>
      <c r="AJ72" s="48" t="n">
        <f aca="false">M72*$X72</f>
        <v>0</v>
      </c>
      <c r="AK72" s="48" t="n">
        <f aca="false">N72*$X72</f>
        <v>0</v>
      </c>
      <c r="AL72" s="48" t="n">
        <f aca="false">O72*$X72</f>
        <v>0</v>
      </c>
      <c r="AM72" s="48" t="n">
        <f aca="false">P72*$X72</f>
        <v>0</v>
      </c>
      <c r="AN72" s="48" t="n">
        <f aca="false">Q72*$X72</f>
        <v>143</v>
      </c>
      <c r="AO72" s="48" t="n">
        <f aca="false">R72*$X72</f>
        <v>149.5</v>
      </c>
      <c r="AP72" s="48" t="n">
        <f aca="false">S72*$X72</f>
        <v>3.25</v>
      </c>
      <c r="AQ72" s="48" t="n">
        <f aca="false">T72*$X72</f>
        <v>0</v>
      </c>
      <c r="AR72" s="48" t="n">
        <f aca="false">U72*$X72</f>
        <v>0</v>
      </c>
      <c r="AS72" s="48" t="n">
        <f aca="false">V72*$X72</f>
        <v>295.75</v>
      </c>
      <c r="AT72" s="48" t="n">
        <f aca="false">W72*$X72</f>
        <v>409.5</v>
      </c>
      <c r="AU72" s="48" t="n">
        <f aca="false">X72*$X72</f>
        <v>10.5625</v>
      </c>
      <c r="AV72" s="48" t="n">
        <f aca="false">Y72*$X72</f>
        <v>454.1875</v>
      </c>
      <c r="AW72" s="48" t="n">
        <f aca="false">Z72*$X72</f>
        <v>42.25</v>
      </c>
      <c r="AX72" s="48" t="n">
        <f aca="false">AA72*$X72</f>
        <v>21.125</v>
      </c>
      <c r="AY72" s="48" t="n">
        <f aca="false">AB72*$X72</f>
        <v>739.375</v>
      </c>
      <c r="AZ72" s="48" t="n">
        <f aca="false">AC72*$X72</f>
        <v>0</v>
      </c>
      <c r="BA72" s="1"/>
      <c r="BB72" s="1"/>
      <c r="BC72" s="1"/>
      <c r="BD72" s="1"/>
      <c r="BE72" s="1"/>
      <c r="BF72" s="1"/>
    </row>
    <row r="73" s="48" customFormat="true" ht="15" hidden="false" customHeight="true" outlineLevel="0" collapsed="false">
      <c r="A73" s="42" t="s">
        <v>142</v>
      </c>
      <c r="B73" s="42" t="n">
        <v>0</v>
      </c>
      <c r="C73" s="43"/>
      <c r="D73" s="44"/>
      <c r="E73" s="44"/>
      <c r="F73" s="44"/>
      <c r="G73" s="44"/>
      <c r="H73" s="44" t="n">
        <f aca="false">B73+D73+E73+F73+G73+C73</f>
        <v>0</v>
      </c>
      <c r="I73" s="45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7" t="n">
        <f aca="false">J73+K73+L73+M73+N73+O73+P73+Q73+R73+S73+T73+U73</f>
        <v>0</v>
      </c>
      <c r="W73" s="47" t="n">
        <f aca="false">H73-V73</f>
        <v>0</v>
      </c>
      <c r="X73" s="48" t="n">
        <v>5.6</v>
      </c>
      <c r="Y73" s="48" t="n">
        <f aca="false">B73*$X73</f>
        <v>0</v>
      </c>
      <c r="Z73" s="48" t="n">
        <f aca="false">C73*$X73</f>
        <v>0</v>
      </c>
      <c r="AA73" s="48" t="n">
        <f aca="false">D73*$X73</f>
        <v>0</v>
      </c>
      <c r="AB73" s="48" t="n">
        <f aca="false">E73*$X73</f>
        <v>0</v>
      </c>
      <c r="AC73" s="48" t="n">
        <f aca="false">F73*$X73</f>
        <v>0</v>
      </c>
      <c r="AD73" s="48" t="n">
        <f aca="false">G73*$X73</f>
        <v>0</v>
      </c>
      <c r="AE73" s="48" t="n">
        <f aca="false">H73*$X73</f>
        <v>0</v>
      </c>
      <c r="AF73" s="48" t="n">
        <f aca="false">I73*$X73</f>
        <v>0</v>
      </c>
      <c r="AG73" s="48" t="n">
        <f aca="false">J73*$X73</f>
        <v>0</v>
      </c>
      <c r="AH73" s="48" t="n">
        <f aca="false">K73*$X73</f>
        <v>0</v>
      </c>
      <c r="AI73" s="48" t="n">
        <f aca="false">L73*$X73</f>
        <v>0</v>
      </c>
      <c r="AJ73" s="48" t="n">
        <f aca="false">M73*$X73</f>
        <v>0</v>
      </c>
      <c r="AK73" s="48" t="n">
        <f aca="false">N73*$X73</f>
        <v>0</v>
      </c>
      <c r="AL73" s="48" t="n">
        <f aca="false">O73*$X73</f>
        <v>0</v>
      </c>
      <c r="AM73" s="48" t="n">
        <f aca="false">P73*$X73</f>
        <v>0</v>
      </c>
      <c r="AN73" s="48" t="n">
        <f aca="false">Q73*$X73</f>
        <v>0</v>
      </c>
      <c r="AO73" s="48" t="n">
        <f aca="false">R73*$X73</f>
        <v>0</v>
      </c>
      <c r="AP73" s="48" t="n">
        <f aca="false">S73*$X73</f>
        <v>0</v>
      </c>
      <c r="AQ73" s="48" t="n">
        <f aca="false">T73*$X73</f>
        <v>0</v>
      </c>
      <c r="AR73" s="48" t="n">
        <f aca="false">U73*$X73</f>
        <v>0</v>
      </c>
      <c r="AS73" s="48" t="n">
        <f aca="false">V73*$X73</f>
        <v>0</v>
      </c>
      <c r="AT73" s="48" t="n">
        <f aca="false">W73*$X73</f>
        <v>0</v>
      </c>
      <c r="AU73" s="48" t="n">
        <f aca="false">X73*$X73</f>
        <v>31.36</v>
      </c>
      <c r="AV73" s="48" t="n">
        <f aca="false">Y73*$X73</f>
        <v>0</v>
      </c>
      <c r="AW73" s="48" t="n">
        <f aca="false">Z73*$X73</f>
        <v>0</v>
      </c>
      <c r="AX73" s="48" t="n">
        <f aca="false">AA73*$X73</f>
        <v>0</v>
      </c>
      <c r="AY73" s="48" t="n">
        <f aca="false">AB73*$X73</f>
        <v>0</v>
      </c>
      <c r="AZ73" s="48" t="n">
        <f aca="false">AC73*$X73</f>
        <v>0</v>
      </c>
      <c r="BA73" s="1"/>
      <c r="BB73" s="1"/>
      <c r="BC73" s="1"/>
      <c r="BD73" s="1"/>
      <c r="BE73" s="1"/>
      <c r="BF73" s="1"/>
    </row>
    <row r="74" s="48" customFormat="true" ht="15" hidden="false" customHeight="true" outlineLevel="0" collapsed="false">
      <c r="A74" s="42" t="s">
        <v>143</v>
      </c>
      <c r="B74" s="42" t="n">
        <v>1</v>
      </c>
      <c r="C74" s="43"/>
      <c r="D74" s="44" t="n">
        <v>15</v>
      </c>
      <c r="E74" s="44" t="n">
        <v>110</v>
      </c>
      <c r="F74" s="44"/>
      <c r="G74" s="44"/>
      <c r="H74" s="44" t="n">
        <f aca="false">B74+D74+E74+F74+G74+C74</f>
        <v>126</v>
      </c>
      <c r="I74" s="45"/>
      <c r="J74" s="49"/>
      <c r="K74" s="49"/>
      <c r="L74" s="49"/>
      <c r="M74" s="49"/>
      <c r="N74" s="49" t="n">
        <v>7</v>
      </c>
      <c r="O74" s="49"/>
      <c r="P74" s="49"/>
      <c r="Q74" s="49" t="n">
        <v>0</v>
      </c>
      <c r="R74" s="49" t="n">
        <v>0</v>
      </c>
      <c r="S74" s="49"/>
      <c r="T74" s="49"/>
      <c r="U74" s="49"/>
      <c r="V74" s="47" t="n">
        <f aca="false">J74+K74+L74+M74+N74+O74+P74+Q74+R74+S74+T74+U74</f>
        <v>7</v>
      </c>
      <c r="W74" s="47" t="n">
        <f aca="false">H74-V74</f>
        <v>119</v>
      </c>
      <c r="X74" s="48" t="n">
        <v>5.6</v>
      </c>
      <c r="Y74" s="48" t="n">
        <f aca="false">B74*$X74</f>
        <v>5.6</v>
      </c>
      <c r="Z74" s="48" t="n">
        <f aca="false">C74*$X74</f>
        <v>0</v>
      </c>
      <c r="AA74" s="48" t="n">
        <f aca="false">D74*$X74</f>
        <v>84</v>
      </c>
      <c r="AB74" s="48" t="n">
        <f aca="false">E74*$X74</f>
        <v>616</v>
      </c>
      <c r="AC74" s="48" t="n">
        <f aca="false">F74*$X74</f>
        <v>0</v>
      </c>
      <c r="AD74" s="48" t="n">
        <f aca="false">G74*$X74</f>
        <v>0</v>
      </c>
      <c r="AE74" s="48" t="n">
        <f aca="false">H74*$X74</f>
        <v>705.6</v>
      </c>
      <c r="AF74" s="48" t="n">
        <f aca="false">I74*$X74</f>
        <v>0</v>
      </c>
      <c r="AG74" s="48" t="n">
        <f aca="false">J74*$X74</f>
        <v>0</v>
      </c>
      <c r="AH74" s="48" t="n">
        <f aca="false">K74*$X74</f>
        <v>0</v>
      </c>
      <c r="AI74" s="48" t="n">
        <f aca="false">L74*$X74</f>
        <v>0</v>
      </c>
      <c r="AJ74" s="48" t="n">
        <f aca="false">M74*$X74</f>
        <v>0</v>
      </c>
      <c r="AK74" s="48" t="n">
        <f aca="false">N74*$X74</f>
        <v>39.2</v>
      </c>
      <c r="AL74" s="48" t="n">
        <f aca="false">O74*$X74</f>
        <v>0</v>
      </c>
      <c r="AM74" s="48" t="n">
        <f aca="false">P74*$X74</f>
        <v>0</v>
      </c>
      <c r="AN74" s="48" t="n">
        <f aca="false">Q74*$X74</f>
        <v>0</v>
      </c>
      <c r="AO74" s="48" t="n">
        <f aca="false">R74*$X74</f>
        <v>0</v>
      </c>
      <c r="AP74" s="48" t="n">
        <f aca="false">S74*$X74</f>
        <v>0</v>
      </c>
      <c r="AQ74" s="48" t="n">
        <f aca="false">T74*$X74</f>
        <v>0</v>
      </c>
      <c r="AR74" s="48" t="n">
        <f aca="false">U74*$X74</f>
        <v>0</v>
      </c>
      <c r="AS74" s="48" t="n">
        <f aca="false">V74*$X74</f>
        <v>39.2</v>
      </c>
      <c r="AT74" s="48" t="n">
        <f aca="false">W74*$X74</f>
        <v>666.4</v>
      </c>
      <c r="AU74" s="48" t="n">
        <f aca="false">X74*$X74</f>
        <v>31.36</v>
      </c>
      <c r="AV74" s="48" t="n">
        <f aca="false">Y74*$X74</f>
        <v>31.36</v>
      </c>
      <c r="AW74" s="48" t="n">
        <f aca="false">Z74*$X74</f>
        <v>0</v>
      </c>
      <c r="AX74" s="48" t="n">
        <f aca="false">AA74*$X74</f>
        <v>470.4</v>
      </c>
      <c r="AY74" s="48" t="n">
        <f aca="false">AB74*$X74</f>
        <v>3449.6</v>
      </c>
      <c r="AZ74" s="48" t="n">
        <f aca="false">AC74*$X74</f>
        <v>0</v>
      </c>
      <c r="BA74" s="1"/>
      <c r="BB74" s="1"/>
      <c r="BC74" s="1"/>
      <c r="BD74" s="1"/>
      <c r="BE74" s="1"/>
      <c r="BF74" s="1"/>
    </row>
    <row r="75" s="48" customFormat="true" ht="15" hidden="false" customHeight="true" outlineLevel="0" collapsed="false">
      <c r="A75" s="42" t="s">
        <v>144</v>
      </c>
      <c r="B75" s="42" t="n">
        <v>24</v>
      </c>
      <c r="C75" s="43"/>
      <c r="D75" s="44" t="n">
        <v>19</v>
      </c>
      <c r="E75" s="44" t="n">
        <v>152</v>
      </c>
      <c r="F75" s="44"/>
      <c r="G75" s="44" t="n">
        <v>43</v>
      </c>
      <c r="H75" s="44" t="n">
        <f aca="false">B75+D75+E75+F75+G75+C75</f>
        <v>238</v>
      </c>
      <c r="I75" s="45"/>
      <c r="J75" s="49" t="n">
        <v>18</v>
      </c>
      <c r="K75" s="49" t="n">
        <v>130</v>
      </c>
      <c r="L75" s="49"/>
      <c r="M75" s="49"/>
      <c r="N75" s="49" t="n">
        <v>47</v>
      </c>
      <c r="O75" s="49"/>
      <c r="P75" s="49"/>
      <c r="Q75" s="49" t="n">
        <v>0</v>
      </c>
      <c r="R75" s="49"/>
      <c r="S75" s="49" t="n">
        <v>1</v>
      </c>
      <c r="T75" s="49"/>
      <c r="U75" s="49" t="n">
        <v>116</v>
      </c>
      <c r="V75" s="47" t="n">
        <f aca="false">J75+K75+L75+M75+N75+O75+P75+Q75+R75+S75+T75+U75</f>
        <v>312</v>
      </c>
      <c r="W75" s="47" t="n">
        <f aca="false">H75-V75</f>
        <v>-74</v>
      </c>
      <c r="X75" s="48" t="n">
        <v>5.6</v>
      </c>
      <c r="Y75" s="48" t="n">
        <f aca="false">B75*$X75</f>
        <v>134.4</v>
      </c>
      <c r="Z75" s="48" t="n">
        <f aca="false">C75*$X75</f>
        <v>0</v>
      </c>
      <c r="AA75" s="48" t="n">
        <f aca="false">D75*$X75</f>
        <v>106.4</v>
      </c>
      <c r="AB75" s="48" t="n">
        <f aca="false">E75*$X75</f>
        <v>851.2</v>
      </c>
      <c r="AC75" s="48" t="n">
        <f aca="false">F75*$X75</f>
        <v>0</v>
      </c>
      <c r="AD75" s="48" t="n">
        <f aca="false">G75*$X75</f>
        <v>240.8</v>
      </c>
      <c r="AE75" s="48" t="n">
        <f aca="false">H75*$X75</f>
        <v>1332.8</v>
      </c>
      <c r="AF75" s="48" t="n">
        <f aca="false">I75*$X75</f>
        <v>0</v>
      </c>
      <c r="AG75" s="48" t="n">
        <f aca="false">J75*$X75</f>
        <v>100.8</v>
      </c>
      <c r="AH75" s="48" t="n">
        <f aca="false">K75*$X75</f>
        <v>728</v>
      </c>
      <c r="AI75" s="48" t="n">
        <f aca="false">L75*$X75</f>
        <v>0</v>
      </c>
      <c r="AJ75" s="48" t="n">
        <f aca="false">M75*$X75</f>
        <v>0</v>
      </c>
      <c r="AK75" s="48" t="n">
        <f aca="false">N75*$X75</f>
        <v>263.2</v>
      </c>
      <c r="AL75" s="48" t="n">
        <f aca="false">O75*$X75</f>
        <v>0</v>
      </c>
      <c r="AM75" s="48" t="n">
        <f aca="false">P75*$X75</f>
        <v>0</v>
      </c>
      <c r="AN75" s="48" t="n">
        <f aca="false">Q75*$X75</f>
        <v>0</v>
      </c>
      <c r="AO75" s="48" t="n">
        <f aca="false">R75*$X75</f>
        <v>0</v>
      </c>
      <c r="AP75" s="48" t="n">
        <f aca="false">S75*$X75</f>
        <v>5.6</v>
      </c>
      <c r="AQ75" s="48" t="n">
        <f aca="false">T75*$X75</f>
        <v>0</v>
      </c>
      <c r="AR75" s="48" t="n">
        <f aca="false">U75*$X75</f>
        <v>649.6</v>
      </c>
      <c r="AS75" s="48" t="n">
        <f aca="false">V75*$X75</f>
        <v>1747.2</v>
      </c>
      <c r="AT75" s="48" t="n">
        <f aca="false">W75*$X75</f>
        <v>-414.4</v>
      </c>
      <c r="AU75" s="48" t="n">
        <f aca="false">X75*$X75</f>
        <v>31.36</v>
      </c>
      <c r="AV75" s="48" t="n">
        <f aca="false">Y75*$X75</f>
        <v>752.64</v>
      </c>
      <c r="AW75" s="48" t="n">
        <f aca="false">Z75*$X75</f>
        <v>0</v>
      </c>
      <c r="AX75" s="48" t="n">
        <f aca="false">AA75*$X75</f>
        <v>595.84</v>
      </c>
      <c r="AY75" s="48" t="n">
        <f aca="false">AB75*$X75</f>
        <v>4766.72</v>
      </c>
      <c r="AZ75" s="48" t="n">
        <f aca="false">AC75*$X75</f>
        <v>0</v>
      </c>
      <c r="BA75" s="1"/>
      <c r="BB75" s="1"/>
      <c r="BC75" s="1"/>
      <c r="BD75" s="1"/>
      <c r="BE75" s="1"/>
      <c r="BF75" s="1"/>
    </row>
    <row r="76" s="48" customFormat="true" ht="15" hidden="false" customHeight="true" outlineLevel="0" collapsed="false">
      <c r="A76" s="42" t="s">
        <v>145</v>
      </c>
      <c r="B76" s="42" t="n">
        <v>149</v>
      </c>
      <c r="C76" s="43" t="n">
        <v>2</v>
      </c>
      <c r="D76" s="44" t="n">
        <v>108</v>
      </c>
      <c r="E76" s="44" t="n">
        <v>169</v>
      </c>
      <c r="F76" s="44"/>
      <c r="G76" s="44" t="n">
        <v>8</v>
      </c>
      <c r="H76" s="44" t="n">
        <f aca="false">B76+D76+E76+F76+G76+C76</f>
        <v>436</v>
      </c>
      <c r="I76" s="45"/>
      <c r="J76" s="49" t="n">
        <v>3</v>
      </c>
      <c r="K76" s="49"/>
      <c r="L76" s="49"/>
      <c r="M76" s="49"/>
      <c r="N76" s="49" t="n">
        <v>272</v>
      </c>
      <c r="O76" s="49"/>
      <c r="P76" s="49"/>
      <c r="Q76" s="49" t="n">
        <v>76</v>
      </c>
      <c r="R76" s="49" t="n">
        <v>73</v>
      </c>
      <c r="S76" s="49" t="n">
        <v>78</v>
      </c>
      <c r="T76" s="49"/>
      <c r="U76" s="49" t="n">
        <v>0</v>
      </c>
      <c r="V76" s="47" t="n">
        <f aca="false">J76+K76+L76+M76+N76+O76+P76+Q76+R76+S76+T76+U76</f>
        <v>502</v>
      </c>
      <c r="W76" s="47" t="n">
        <f aca="false">H76-V76</f>
        <v>-66</v>
      </c>
      <c r="X76" s="48" t="n">
        <v>5.6</v>
      </c>
      <c r="Y76" s="48" t="n">
        <f aca="false">B76*$X76</f>
        <v>834.4</v>
      </c>
      <c r="Z76" s="48" t="n">
        <f aca="false">C76*$X76</f>
        <v>11.2</v>
      </c>
      <c r="AA76" s="48" t="n">
        <f aca="false">D76*$X76</f>
        <v>604.8</v>
      </c>
      <c r="AB76" s="48" t="n">
        <f aca="false">E76*$X76</f>
        <v>946.4</v>
      </c>
      <c r="AC76" s="48" t="n">
        <f aca="false">F76*$X76</f>
        <v>0</v>
      </c>
      <c r="AD76" s="48" t="n">
        <f aca="false">G76*$X76</f>
        <v>44.8</v>
      </c>
      <c r="AE76" s="48" t="n">
        <f aca="false">H76*$X76</f>
        <v>2441.6</v>
      </c>
      <c r="AF76" s="48" t="n">
        <f aca="false">I76*$X76</f>
        <v>0</v>
      </c>
      <c r="AG76" s="48" t="n">
        <f aca="false">J76*$X76</f>
        <v>16.8</v>
      </c>
      <c r="AH76" s="48" t="n">
        <f aca="false">K76*$X76</f>
        <v>0</v>
      </c>
      <c r="AI76" s="48" t="n">
        <f aca="false">L76*$X76</f>
        <v>0</v>
      </c>
      <c r="AJ76" s="48" t="n">
        <f aca="false">M76*$X76</f>
        <v>0</v>
      </c>
      <c r="AK76" s="48" t="n">
        <f aca="false">N76*$X76</f>
        <v>1523.2</v>
      </c>
      <c r="AL76" s="48" t="n">
        <f aca="false">O76*$X76</f>
        <v>0</v>
      </c>
      <c r="AM76" s="48" t="n">
        <f aca="false">P76*$X76</f>
        <v>0</v>
      </c>
      <c r="AN76" s="48" t="n">
        <f aca="false">Q76*$X76</f>
        <v>425.6</v>
      </c>
      <c r="AO76" s="48" t="n">
        <f aca="false">R76*$X76</f>
        <v>408.8</v>
      </c>
      <c r="AP76" s="48" t="n">
        <f aca="false">S76*$X76</f>
        <v>436.8</v>
      </c>
      <c r="AQ76" s="48" t="n">
        <f aca="false">T76*$X76</f>
        <v>0</v>
      </c>
      <c r="AR76" s="48" t="n">
        <f aca="false">U76*$X76</f>
        <v>0</v>
      </c>
      <c r="AS76" s="48" t="n">
        <f aca="false">V76*$X76</f>
        <v>2811.2</v>
      </c>
      <c r="AT76" s="48" t="n">
        <f aca="false">W76*$X76</f>
        <v>-369.6</v>
      </c>
      <c r="AU76" s="48" t="n">
        <f aca="false">X76*$X76</f>
        <v>31.36</v>
      </c>
      <c r="AV76" s="48" t="n">
        <f aca="false">Y76*$X76</f>
        <v>4672.64</v>
      </c>
      <c r="AW76" s="48" t="n">
        <f aca="false">Z76*$X76</f>
        <v>62.72</v>
      </c>
      <c r="AX76" s="48" t="n">
        <f aca="false">AA76*$X76</f>
        <v>3386.88</v>
      </c>
      <c r="AY76" s="48" t="n">
        <f aca="false">AB76*$X76</f>
        <v>5299.84</v>
      </c>
      <c r="AZ76" s="48" t="n">
        <f aca="false">AC76*$X76</f>
        <v>0</v>
      </c>
      <c r="BA76" s="1"/>
      <c r="BB76" s="1"/>
      <c r="BC76" s="1"/>
      <c r="BD76" s="1"/>
      <c r="BE76" s="1"/>
      <c r="BF76" s="1"/>
    </row>
    <row r="77" s="48" customFormat="true" ht="15" hidden="false" customHeight="true" outlineLevel="0" collapsed="false">
      <c r="A77" s="42" t="s">
        <v>146</v>
      </c>
      <c r="B77" s="42" t="n">
        <v>0</v>
      </c>
      <c r="C77" s="43"/>
      <c r="D77" s="44"/>
      <c r="E77" s="44"/>
      <c r="F77" s="44"/>
      <c r="G77" s="44"/>
      <c r="H77" s="44" t="n">
        <f aca="false">B77+D77+E77+F77+G77+C77</f>
        <v>0</v>
      </c>
      <c r="I77" s="45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7" t="n">
        <f aca="false">J77+K77+L77+M77+N77+O77+P77+Q77+R77+S77+T77+U77</f>
        <v>0</v>
      </c>
      <c r="W77" s="47" t="n">
        <f aca="false">H77-V77</f>
        <v>0</v>
      </c>
      <c r="X77" s="48" t="n">
        <v>5.6</v>
      </c>
      <c r="Y77" s="48" t="n">
        <f aca="false">B77*$X77</f>
        <v>0</v>
      </c>
      <c r="Z77" s="48" t="n">
        <f aca="false">C77*$X77</f>
        <v>0</v>
      </c>
      <c r="AA77" s="48" t="n">
        <f aca="false">D77*$X77</f>
        <v>0</v>
      </c>
      <c r="AB77" s="48" t="n">
        <f aca="false">E77*$X77</f>
        <v>0</v>
      </c>
      <c r="AC77" s="48" t="n">
        <f aca="false">F77*$X77</f>
        <v>0</v>
      </c>
      <c r="AD77" s="48" t="n">
        <f aca="false">G77*$X77</f>
        <v>0</v>
      </c>
      <c r="AE77" s="48" t="n">
        <f aca="false">H77*$X77</f>
        <v>0</v>
      </c>
      <c r="AF77" s="48" t="n">
        <f aca="false">I77*$X77</f>
        <v>0</v>
      </c>
      <c r="AG77" s="48" t="n">
        <f aca="false">J77*$X77</f>
        <v>0</v>
      </c>
      <c r="AH77" s="48" t="n">
        <f aca="false">K77*$X77</f>
        <v>0</v>
      </c>
      <c r="AI77" s="48" t="n">
        <f aca="false">L77*$X77</f>
        <v>0</v>
      </c>
      <c r="AJ77" s="48" t="n">
        <f aca="false">M77*$X77</f>
        <v>0</v>
      </c>
      <c r="AK77" s="48" t="n">
        <f aca="false">N77*$X77</f>
        <v>0</v>
      </c>
      <c r="AL77" s="48" t="n">
        <f aca="false">O77*$X77</f>
        <v>0</v>
      </c>
      <c r="AM77" s="48" t="n">
        <f aca="false">P77*$X77</f>
        <v>0</v>
      </c>
      <c r="AN77" s="48" t="n">
        <f aca="false">Q77*$X77</f>
        <v>0</v>
      </c>
      <c r="AO77" s="48" t="n">
        <f aca="false">R77*$X77</f>
        <v>0</v>
      </c>
      <c r="AP77" s="48" t="n">
        <f aca="false">S77*$X77</f>
        <v>0</v>
      </c>
      <c r="AQ77" s="48" t="n">
        <f aca="false">T77*$X77</f>
        <v>0</v>
      </c>
      <c r="AR77" s="48" t="n">
        <f aca="false">U77*$X77</f>
        <v>0</v>
      </c>
      <c r="AS77" s="48" t="n">
        <f aca="false">V77*$X77</f>
        <v>0</v>
      </c>
      <c r="AT77" s="48" t="n">
        <f aca="false">W77*$X77</f>
        <v>0</v>
      </c>
      <c r="AU77" s="48" t="n">
        <f aca="false">X77*$X77</f>
        <v>31.36</v>
      </c>
      <c r="AV77" s="48" t="n">
        <f aca="false">Y77*$X77</f>
        <v>0</v>
      </c>
      <c r="AW77" s="48" t="n">
        <f aca="false">Z77*$X77</f>
        <v>0</v>
      </c>
      <c r="AX77" s="48" t="n">
        <f aca="false">AA77*$X77</f>
        <v>0</v>
      </c>
      <c r="AY77" s="48" t="n">
        <f aca="false">AB77*$X77</f>
        <v>0</v>
      </c>
      <c r="AZ77" s="48" t="n">
        <f aca="false">AC77*$X77</f>
        <v>0</v>
      </c>
      <c r="BA77" s="1"/>
      <c r="BB77" s="1"/>
      <c r="BC77" s="1"/>
      <c r="BD77" s="1"/>
      <c r="BE77" s="1"/>
      <c r="BF77" s="1"/>
    </row>
    <row r="78" s="48" customFormat="true" ht="15" hidden="false" customHeight="true" outlineLevel="0" collapsed="false">
      <c r="A78" s="42" t="s">
        <v>147</v>
      </c>
      <c r="B78" s="42" t="n">
        <v>35</v>
      </c>
      <c r="C78" s="43"/>
      <c r="D78" s="44" t="n">
        <v>17</v>
      </c>
      <c r="E78" s="44"/>
      <c r="F78" s="44"/>
      <c r="G78" s="44" t="n">
        <v>256</v>
      </c>
      <c r="H78" s="44" t="n">
        <f aca="false">B78+D78+E78+F78+G78+C78</f>
        <v>308</v>
      </c>
      <c r="I78" s="45"/>
      <c r="J78" s="49"/>
      <c r="K78" s="49"/>
      <c r="L78" s="49"/>
      <c r="M78" s="49"/>
      <c r="N78" s="49"/>
      <c r="O78" s="49"/>
      <c r="P78" s="49" t="n">
        <v>52</v>
      </c>
      <c r="Q78" s="49"/>
      <c r="R78" s="49"/>
      <c r="S78" s="49"/>
      <c r="T78" s="49"/>
      <c r="U78" s="49"/>
      <c r="V78" s="47" t="n">
        <f aca="false">J78+K78+L78+M78+N78+O78+P78+Q78+R78+S78+T78+U78</f>
        <v>52</v>
      </c>
      <c r="W78" s="47" t="n">
        <f aca="false">H78-V78</f>
        <v>256</v>
      </c>
      <c r="X78" s="48" t="n">
        <v>0.6</v>
      </c>
      <c r="Y78" s="48" t="n">
        <f aca="false">B78*$X78</f>
        <v>21</v>
      </c>
      <c r="Z78" s="48" t="n">
        <f aca="false">C78*$X78</f>
        <v>0</v>
      </c>
      <c r="AA78" s="48" t="n">
        <f aca="false">D78*$X78</f>
        <v>10.2</v>
      </c>
      <c r="AB78" s="48" t="n">
        <f aca="false">E78*$X78</f>
        <v>0</v>
      </c>
      <c r="AC78" s="48" t="n">
        <f aca="false">F78*$X78</f>
        <v>0</v>
      </c>
      <c r="AD78" s="48" t="n">
        <f aca="false">G78*$X78</f>
        <v>153.6</v>
      </c>
      <c r="AE78" s="48" t="n">
        <f aca="false">H78*$X78</f>
        <v>184.8</v>
      </c>
      <c r="AF78" s="48" t="n">
        <f aca="false">I78*$X78</f>
        <v>0</v>
      </c>
      <c r="AG78" s="48" t="n">
        <f aca="false">J78*$X78</f>
        <v>0</v>
      </c>
      <c r="AH78" s="48" t="n">
        <f aca="false">K78*$X78</f>
        <v>0</v>
      </c>
      <c r="AI78" s="48" t="n">
        <f aca="false">L78*$X78</f>
        <v>0</v>
      </c>
      <c r="AJ78" s="48" t="n">
        <f aca="false">M78*$X78</f>
        <v>0</v>
      </c>
      <c r="AK78" s="48" t="n">
        <f aca="false">N78*$X78</f>
        <v>0</v>
      </c>
      <c r="AL78" s="48" t="n">
        <f aca="false">O78*$X78</f>
        <v>0</v>
      </c>
      <c r="AM78" s="48" t="n">
        <f aca="false">P78*$X78</f>
        <v>31.2</v>
      </c>
      <c r="AN78" s="48" t="n">
        <f aca="false">Q78*$X78</f>
        <v>0</v>
      </c>
      <c r="AO78" s="48" t="n">
        <f aca="false">R78*$X78</f>
        <v>0</v>
      </c>
      <c r="AP78" s="48" t="n">
        <f aca="false">S78*$X78</f>
        <v>0</v>
      </c>
      <c r="AQ78" s="48" t="n">
        <f aca="false">T78*$X78</f>
        <v>0</v>
      </c>
      <c r="AR78" s="48" t="n">
        <f aca="false">U78*$X78</f>
        <v>0</v>
      </c>
      <c r="AS78" s="48" t="n">
        <f aca="false">V78*$X78</f>
        <v>31.2</v>
      </c>
      <c r="AT78" s="48" t="n">
        <f aca="false">W78*$X78</f>
        <v>153.6</v>
      </c>
      <c r="AU78" s="48" t="n">
        <f aca="false">X78*$X78</f>
        <v>0.36</v>
      </c>
      <c r="AV78" s="48" t="n">
        <f aca="false">Y78*$X78</f>
        <v>12.6</v>
      </c>
      <c r="AW78" s="48" t="n">
        <f aca="false">Z78*$X78</f>
        <v>0</v>
      </c>
      <c r="AX78" s="48" t="n">
        <f aca="false">AA78*$X78</f>
        <v>6.12</v>
      </c>
      <c r="AY78" s="48" t="n">
        <f aca="false">AB78*$X78</f>
        <v>0</v>
      </c>
      <c r="AZ78" s="48" t="n">
        <f aca="false">AC78*$X78</f>
        <v>0</v>
      </c>
      <c r="BA78" s="1"/>
      <c r="BB78" s="1"/>
      <c r="BC78" s="1"/>
      <c r="BD78" s="1"/>
      <c r="BE78" s="1"/>
      <c r="BF78" s="1"/>
    </row>
    <row r="79" s="48" customFormat="true" ht="15" hidden="false" customHeight="true" outlineLevel="0" collapsed="false">
      <c r="A79" s="42" t="s">
        <v>148</v>
      </c>
      <c r="B79" s="42" t="n">
        <v>32</v>
      </c>
      <c r="C79" s="43"/>
      <c r="D79" s="44" t="n">
        <v>17</v>
      </c>
      <c r="E79" s="44"/>
      <c r="F79" s="44"/>
      <c r="G79" s="44" t="n">
        <v>32</v>
      </c>
      <c r="H79" s="44" t="n">
        <f aca="false">B79+D79+E79+F79+G79+C79</f>
        <v>81</v>
      </c>
      <c r="I79" s="45"/>
      <c r="J79" s="49"/>
      <c r="K79" s="49"/>
      <c r="L79" s="49"/>
      <c r="M79" s="49"/>
      <c r="N79" s="49"/>
      <c r="O79" s="49"/>
      <c r="P79" s="49" t="n">
        <v>49</v>
      </c>
      <c r="Q79" s="49"/>
      <c r="R79" s="49"/>
      <c r="S79" s="49"/>
      <c r="T79" s="49"/>
      <c r="U79" s="49"/>
      <c r="V79" s="47" t="n">
        <f aca="false">J79+K79+L79+M79+N79+O79+P79+Q79+R79+S79+T79+U79</f>
        <v>49</v>
      </c>
      <c r="W79" s="47" t="n">
        <f aca="false">H79-V79</f>
        <v>32</v>
      </c>
      <c r="X79" s="48" t="n">
        <v>1.05</v>
      </c>
      <c r="Y79" s="48" t="n">
        <f aca="false">B79*$X79</f>
        <v>33.6</v>
      </c>
      <c r="Z79" s="48" t="n">
        <f aca="false">C79*$X79</f>
        <v>0</v>
      </c>
      <c r="AA79" s="48" t="n">
        <f aca="false">D79*$X79</f>
        <v>17.85</v>
      </c>
      <c r="AB79" s="48" t="n">
        <f aca="false">E79*$X79</f>
        <v>0</v>
      </c>
      <c r="AC79" s="48" t="n">
        <f aca="false">F79*$X79</f>
        <v>0</v>
      </c>
      <c r="AD79" s="48" t="n">
        <f aca="false">G79*$X79</f>
        <v>33.6</v>
      </c>
      <c r="AE79" s="48" t="n">
        <f aca="false">H79*$X79</f>
        <v>85.05</v>
      </c>
      <c r="AF79" s="48" t="n">
        <f aca="false">I79*$X79</f>
        <v>0</v>
      </c>
      <c r="AG79" s="48" t="n">
        <f aca="false">J79*$X79</f>
        <v>0</v>
      </c>
      <c r="AH79" s="48" t="n">
        <f aca="false">K79*$X79</f>
        <v>0</v>
      </c>
      <c r="AI79" s="48" t="n">
        <f aca="false">L79*$X79</f>
        <v>0</v>
      </c>
      <c r="AJ79" s="48" t="n">
        <f aca="false">M79*$X79</f>
        <v>0</v>
      </c>
      <c r="AK79" s="48" t="n">
        <f aca="false">N79*$X79</f>
        <v>0</v>
      </c>
      <c r="AL79" s="48" t="n">
        <f aca="false">O79*$X79</f>
        <v>0</v>
      </c>
      <c r="AM79" s="48" t="n">
        <f aca="false">P79*$X79</f>
        <v>51.45</v>
      </c>
      <c r="AN79" s="48" t="n">
        <f aca="false">Q79*$X79</f>
        <v>0</v>
      </c>
      <c r="AO79" s="48" t="n">
        <f aca="false">R79*$X79</f>
        <v>0</v>
      </c>
      <c r="AP79" s="48" t="n">
        <f aca="false">S79*$X79</f>
        <v>0</v>
      </c>
      <c r="AQ79" s="48" t="n">
        <f aca="false">T79*$X79</f>
        <v>0</v>
      </c>
      <c r="AR79" s="48" t="n">
        <f aca="false">U79*$X79</f>
        <v>0</v>
      </c>
      <c r="AS79" s="48" t="n">
        <f aca="false">V79*$X79</f>
        <v>51.45</v>
      </c>
      <c r="AT79" s="48" t="n">
        <f aca="false">W79*$X79</f>
        <v>33.6</v>
      </c>
      <c r="AU79" s="48" t="n">
        <f aca="false">X79*$X79</f>
        <v>1.1025</v>
      </c>
      <c r="AV79" s="48" t="n">
        <f aca="false">Y79*$X79</f>
        <v>35.28</v>
      </c>
      <c r="AW79" s="48" t="n">
        <f aca="false">Z79*$X79</f>
        <v>0</v>
      </c>
      <c r="AX79" s="48" t="n">
        <f aca="false">AA79*$X79</f>
        <v>18.7425</v>
      </c>
      <c r="AY79" s="48" t="n">
        <f aca="false">AB79*$X79</f>
        <v>0</v>
      </c>
      <c r="AZ79" s="48" t="n">
        <f aca="false">AC79*$X79</f>
        <v>0</v>
      </c>
      <c r="BA79" s="1"/>
      <c r="BB79" s="1"/>
      <c r="BC79" s="1"/>
      <c r="BD79" s="1"/>
      <c r="BE79" s="1"/>
      <c r="BF79" s="1"/>
    </row>
    <row r="80" s="48" customFormat="true" ht="15" hidden="false" customHeight="true" outlineLevel="0" collapsed="false">
      <c r="A80" s="42" t="s">
        <v>149</v>
      </c>
      <c r="B80" s="42" t="n">
        <v>0</v>
      </c>
      <c r="C80" s="43"/>
      <c r="D80" s="44"/>
      <c r="E80" s="44"/>
      <c r="F80" s="44"/>
      <c r="G80" s="44"/>
      <c r="H80" s="44" t="n">
        <f aca="false">B80+D80+E80+F80+G80+C80</f>
        <v>0</v>
      </c>
      <c r="I80" s="45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7" t="n">
        <f aca="false">J80+K80+L80+M80+N80+O80+P80+Q80+R80+S80+T80+U80</f>
        <v>0</v>
      </c>
      <c r="W80" s="47" t="n">
        <f aca="false">H80-V80</f>
        <v>0</v>
      </c>
      <c r="X80" s="48" t="n">
        <v>15.19</v>
      </c>
      <c r="Y80" s="48" t="n">
        <f aca="false">B80*$X80</f>
        <v>0</v>
      </c>
      <c r="Z80" s="48" t="n">
        <f aca="false">C80*$X80</f>
        <v>0</v>
      </c>
      <c r="AA80" s="48" t="n">
        <f aca="false">D80*$X80</f>
        <v>0</v>
      </c>
      <c r="AB80" s="48" t="n">
        <f aca="false">E80*$X80</f>
        <v>0</v>
      </c>
      <c r="AC80" s="48" t="n">
        <f aca="false">F80*$X80</f>
        <v>0</v>
      </c>
      <c r="AD80" s="48" t="n">
        <f aca="false">G80*$X80</f>
        <v>0</v>
      </c>
      <c r="AE80" s="48" t="n">
        <f aca="false">H80*$X80</f>
        <v>0</v>
      </c>
      <c r="AF80" s="48" t="n">
        <f aca="false">I80*$X80</f>
        <v>0</v>
      </c>
      <c r="AG80" s="48" t="n">
        <f aca="false">J80*$X80</f>
        <v>0</v>
      </c>
      <c r="AH80" s="48" t="n">
        <f aca="false">K80*$X80</f>
        <v>0</v>
      </c>
      <c r="AI80" s="48" t="n">
        <f aca="false">L80*$X80</f>
        <v>0</v>
      </c>
      <c r="AJ80" s="48" t="n">
        <f aca="false">M80*$X80</f>
        <v>0</v>
      </c>
      <c r="AK80" s="48" t="n">
        <f aca="false">N80*$X80</f>
        <v>0</v>
      </c>
      <c r="AL80" s="48" t="n">
        <f aca="false">O80*$X80</f>
        <v>0</v>
      </c>
      <c r="AM80" s="48" t="n">
        <f aca="false">P80*$X80</f>
        <v>0</v>
      </c>
      <c r="AN80" s="48" t="n">
        <f aca="false">Q80*$X80</f>
        <v>0</v>
      </c>
      <c r="AO80" s="48" t="n">
        <f aca="false">R80*$X80</f>
        <v>0</v>
      </c>
      <c r="AP80" s="48" t="n">
        <f aca="false">S80*$X80</f>
        <v>0</v>
      </c>
      <c r="AQ80" s="48" t="n">
        <f aca="false">T80*$X80</f>
        <v>0</v>
      </c>
      <c r="AR80" s="48" t="n">
        <f aca="false">U80*$X80</f>
        <v>0</v>
      </c>
      <c r="AS80" s="48" t="n">
        <f aca="false">V80*$X80</f>
        <v>0</v>
      </c>
      <c r="AT80" s="48" t="n">
        <f aca="false">W80*$X80</f>
        <v>0</v>
      </c>
      <c r="AU80" s="48" t="n">
        <f aca="false">X80*$X80</f>
        <v>230.7361</v>
      </c>
      <c r="AV80" s="48" t="n">
        <f aca="false">Y80*$X80</f>
        <v>0</v>
      </c>
      <c r="AW80" s="48" t="n">
        <f aca="false">Z80*$X80</f>
        <v>0</v>
      </c>
      <c r="AX80" s="48" t="n">
        <f aca="false">AA80*$X80</f>
        <v>0</v>
      </c>
      <c r="AY80" s="48" t="n">
        <f aca="false">AB80*$X80</f>
        <v>0</v>
      </c>
      <c r="AZ80" s="48" t="n">
        <f aca="false">AC80*$X80</f>
        <v>0</v>
      </c>
      <c r="BA80" s="1"/>
      <c r="BB80" s="1"/>
      <c r="BC80" s="1"/>
      <c r="BD80" s="1"/>
      <c r="BE80" s="1"/>
      <c r="BF80" s="1"/>
    </row>
    <row r="81" s="48" customFormat="true" ht="15" hidden="false" customHeight="true" outlineLevel="0" collapsed="false">
      <c r="A81" s="42" t="s">
        <v>150</v>
      </c>
      <c r="B81" s="42" t="n">
        <v>0</v>
      </c>
      <c r="C81" s="43"/>
      <c r="D81" s="44"/>
      <c r="E81" s="44"/>
      <c r="F81" s="44"/>
      <c r="G81" s="44"/>
      <c r="H81" s="44" t="n">
        <f aca="false">B81+D81+E81+F81+G81+C81</f>
        <v>0</v>
      </c>
      <c r="I81" s="45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7" t="n">
        <f aca="false">J81+K81+L81+M81+N81+O81+P81+Q81+R81+S81+T81+U81</f>
        <v>0</v>
      </c>
      <c r="W81" s="47" t="n">
        <f aca="false">H81-V81</f>
        <v>0</v>
      </c>
      <c r="X81" s="48" t="n">
        <v>15.19</v>
      </c>
      <c r="Y81" s="48" t="n">
        <f aca="false">B81*$X81</f>
        <v>0</v>
      </c>
      <c r="Z81" s="48" t="n">
        <f aca="false">C81*$X81</f>
        <v>0</v>
      </c>
      <c r="AA81" s="48" t="n">
        <f aca="false">D81*$X81</f>
        <v>0</v>
      </c>
      <c r="AB81" s="48" t="n">
        <f aca="false">E81*$X81</f>
        <v>0</v>
      </c>
      <c r="AC81" s="48" t="n">
        <f aca="false">F81*$X81</f>
        <v>0</v>
      </c>
      <c r="AD81" s="48" t="n">
        <f aca="false">G81*$X81</f>
        <v>0</v>
      </c>
      <c r="AE81" s="48" t="n">
        <f aca="false">H81*$X81</f>
        <v>0</v>
      </c>
      <c r="AF81" s="48" t="n">
        <f aca="false">I81*$X81</f>
        <v>0</v>
      </c>
      <c r="AG81" s="48" t="n">
        <f aca="false">J81*$X81</f>
        <v>0</v>
      </c>
      <c r="AH81" s="48" t="n">
        <f aca="false">K81*$X81</f>
        <v>0</v>
      </c>
      <c r="AI81" s="48" t="n">
        <f aca="false">L81*$X81</f>
        <v>0</v>
      </c>
      <c r="AJ81" s="48" t="n">
        <f aca="false">M81*$X81</f>
        <v>0</v>
      </c>
      <c r="AK81" s="48" t="n">
        <f aca="false">N81*$X81</f>
        <v>0</v>
      </c>
      <c r="AL81" s="48" t="n">
        <f aca="false">O81*$X81</f>
        <v>0</v>
      </c>
      <c r="AM81" s="48" t="n">
        <f aca="false">P81*$X81</f>
        <v>0</v>
      </c>
      <c r="AN81" s="48" t="n">
        <f aca="false">Q81*$X81</f>
        <v>0</v>
      </c>
      <c r="AO81" s="48" t="n">
        <f aca="false">R81*$X81</f>
        <v>0</v>
      </c>
      <c r="AP81" s="48" t="n">
        <f aca="false">S81*$X81</f>
        <v>0</v>
      </c>
      <c r="AQ81" s="48" t="n">
        <f aca="false">T81*$X81</f>
        <v>0</v>
      </c>
      <c r="AR81" s="48" t="n">
        <f aca="false">U81*$X81</f>
        <v>0</v>
      </c>
      <c r="AS81" s="48" t="n">
        <f aca="false">V81*$X81</f>
        <v>0</v>
      </c>
      <c r="AT81" s="48" t="n">
        <f aca="false">W81*$X81</f>
        <v>0</v>
      </c>
      <c r="AU81" s="48" t="n">
        <f aca="false">X81*$X81</f>
        <v>230.7361</v>
      </c>
      <c r="AV81" s="48" t="n">
        <f aca="false">Y81*$X81</f>
        <v>0</v>
      </c>
      <c r="AW81" s="48" t="n">
        <f aca="false">Z81*$X81</f>
        <v>0</v>
      </c>
      <c r="AX81" s="48" t="n">
        <f aca="false">AA81*$X81</f>
        <v>0</v>
      </c>
      <c r="AY81" s="48" t="n">
        <f aca="false">AB81*$X81</f>
        <v>0</v>
      </c>
      <c r="AZ81" s="48" t="n">
        <f aca="false">AC81*$X81</f>
        <v>0</v>
      </c>
      <c r="BA81" s="1"/>
      <c r="BB81" s="1"/>
      <c r="BC81" s="1"/>
      <c r="BD81" s="1"/>
      <c r="BE81" s="1"/>
      <c r="BF81" s="1"/>
    </row>
    <row r="82" s="48" customFormat="true" ht="15" hidden="false" customHeight="true" outlineLevel="0" collapsed="false">
      <c r="A82" s="42" t="s">
        <v>151</v>
      </c>
      <c r="B82" s="42" t="n">
        <v>0</v>
      </c>
      <c r="C82" s="43"/>
      <c r="D82" s="44"/>
      <c r="E82" s="44"/>
      <c r="F82" s="44"/>
      <c r="G82" s="44"/>
      <c r="H82" s="44" t="n">
        <f aca="false">B82+D82+E82+F82+G82+C82</f>
        <v>0</v>
      </c>
      <c r="I82" s="45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7" t="n">
        <f aca="false">J82+K82+L82+M82+N82+O82+P82+Q82+R82+S82+T82+U82</f>
        <v>0</v>
      </c>
      <c r="W82" s="47" t="n">
        <f aca="false">H82-V82</f>
        <v>0</v>
      </c>
      <c r="X82" s="48" t="n">
        <v>8</v>
      </c>
      <c r="Y82" s="48" t="n">
        <f aca="false">B82*$X82</f>
        <v>0</v>
      </c>
      <c r="Z82" s="48" t="n">
        <f aca="false">C82*$X82</f>
        <v>0</v>
      </c>
      <c r="AA82" s="48" t="n">
        <f aca="false">D82*$X82</f>
        <v>0</v>
      </c>
      <c r="AB82" s="48" t="n">
        <f aca="false">E82*$X82</f>
        <v>0</v>
      </c>
      <c r="AC82" s="48" t="n">
        <f aca="false">F82*$X82</f>
        <v>0</v>
      </c>
      <c r="AD82" s="48" t="n">
        <f aca="false">G82*$X82</f>
        <v>0</v>
      </c>
      <c r="AE82" s="48" t="n">
        <f aca="false">H82*$X82</f>
        <v>0</v>
      </c>
      <c r="AF82" s="48" t="n">
        <f aca="false">I82*$X82</f>
        <v>0</v>
      </c>
      <c r="AG82" s="48" t="n">
        <f aca="false">J82*$X82</f>
        <v>0</v>
      </c>
      <c r="AH82" s="48" t="n">
        <f aca="false">K82*$X82</f>
        <v>0</v>
      </c>
      <c r="AI82" s="48" t="n">
        <f aca="false">L82*$X82</f>
        <v>0</v>
      </c>
      <c r="AJ82" s="48" t="n">
        <f aca="false">M82*$X82</f>
        <v>0</v>
      </c>
      <c r="AK82" s="48" t="n">
        <f aca="false">N82*$X82</f>
        <v>0</v>
      </c>
      <c r="AL82" s="48" t="n">
        <f aca="false">O82*$X82</f>
        <v>0</v>
      </c>
      <c r="AM82" s="48" t="n">
        <f aca="false">P82*$X82</f>
        <v>0</v>
      </c>
      <c r="AN82" s="48" t="n">
        <f aca="false">Q82*$X82</f>
        <v>0</v>
      </c>
      <c r="AO82" s="48" t="n">
        <f aca="false">R82*$X82</f>
        <v>0</v>
      </c>
      <c r="AP82" s="48" t="n">
        <f aca="false">S82*$X82</f>
        <v>0</v>
      </c>
      <c r="AQ82" s="48" t="n">
        <f aca="false">T82*$X82</f>
        <v>0</v>
      </c>
      <c r="AR82" s="48" t="n">
        <f aca="false">U82*$X82</f>
        <v>0</v>
      </c>
      <c r="AS82" s="48" t="n">
        <f aca="false">V82*$X82</f>
        <v>0</v>
      </c>
      <c r="AT82" s="48" t="n">
        <f aca="false">W82*$X82</f>
        <v>0</v>
      </c>
      <c r="AU82" s="48" t="n">
        <f aca="false">X82*$X82</f>
        <v>64</v>
      </c>
      <c r="AV82" s="48" t="n">
        <f aca="false">Y82*$X82</f>
        <v>0</v>
      </c>
      <c r="AW82" s="48" t="n">
        <f aca="false">Z82*$X82</f>
        <v>0</v>
      </c>
      <c r="AX82" s="48" t="n">
        <f aca="false">AA82*$X82</f>
        <v>0</v>
      </c>
      <c r="AY82" s="48" t="n">
        <f aca="false">AB82*$X82</f>
        <v>0</v>
      </c>
      <c r="AZ82" s="48" t="n">
        <f aca="false">AC82*$X82</f>
        <v>0</v>
      </c>
      <c r="BA82" s="1"/>
      <c r="BB82" s="1"/>
      <c r="BC82" s="1"/>
      <c r="BD82" s="1"/>
      <c r="BE82" s="1"/>
      <c r="BF82" s="1"/>
    </row>
    <row r="83" s="48" customFormat="true" ht="15" hidden="false" customHeight="true" outlineLevel="0" collapsed="false">
      <c r="A83" s="42" t="s">
        <v>152</v>
      </c>
      <c r="B83" s="42" t="n">
        <v>18</v>
      </c>
      <c r="C83" s="43"/>
      <c r="D83" s="44"/>
      <c r="E83" s="44" t="n">
        <v>28</v>
      </c>
      <c r="F83" s="44"/>
      <c r="G83" s="44"/>
      <c r="H83" s="44" t="n">
        <f aca="false">B83+D83+E83+F83+G83+C83</f>
        <v>46</v>
      </c>
      <c r="I83" s="45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7" t="n">
        <f aca="false">J83+K83+L83+M83+N83+O83+P83+Q83+R83+S83+T83+U83</f>
        <v>0</v>
      </c>
      <c r="W83" s="47" t="n">
        <f aca="false">H83-V83</f>
        <v>46</v>
      </c>
      <c r="X83" s="48" t="n">
        <v>1.08</v>
      </c>
      <c r="Y83" s="48" t="n">
        <f aca="false">B83*$X83</f>
        <v>19.44</v>
      </c>
      <c r="Z83" s="48" t="n">
        <f aca="false">C83*$X83</f>
        <v>0</v>
      </c>
      <c r="AA83" s="48" t="n">
        <f aca="false">D83*$X83</f>
        <v>0</v>
      </c>
      <c r="AB83" s="48" t="n">
        <f aca="false">E83*$X83</f>
        <v>30.24</v>
      </c>
      <c r="AC83" s="48" t="n">
        <f aca="false">F83*$X83</f>
        <v>0</v>
      </c>
      <c r="AD83" s="48" t="n">
        <f aca="false">G83*$X83</f>
        <v>0</v>
      </c>
      <c r="AE83" s="48" t="n">
        <f aca="false">H83*$X83</f>
        <v>49.68</v>
      </c>
      <c r="AF83" s="48" t="n">
        <f aca="false">I83*$X83</f>
        <v>0</v>
      </c>
      <c r="AG83" s="48" t="n">
        <f aca="false">J83*$X83</f>
        <v>0</v>
      </c>
      <c r="AH83" s="48" t="n">
        <f aca="false">K83*$X83</f>
        <v>0</v>
      </c>
      <c r="AI83" s="48" t="n">
        <f aca="false">L83*$X83</f>
        <v>0</v>
      </c>
      <c r="AJ83" s="48" t="n">
        <f aca="false">M83*$X83</f>
        <v>0</v>
      </c>
      <c r="AK83" s="48" t="n">
        <f aca="false">N83*$X83</f>
        <v>0</v>
      </c>
      <c r="AL83" s="48" t="n">
        <f aca="false">O83*$X83</f>
        <v>0</v>
      </c>
      <c r="AM83" s="48" t="n">
        <f aca="false">P83*$X83</f>
        <v>0</v>
      </c>
      <c r="AN83" s="48" t="n">
        <f aca="false">Q83*$X83</f>
        <v>0</v>
      </c>
      <c r="AO83" s="48" t="n">
        <f aca="false">R83*$X83</f>
        <v>0</v>
      </c>
      <c r="AP83" s="48" t="n">
        <f aca="false">S83*$X83</f>
        <v>0</v>
      </c>
      <c r="AQ83" s="48" t="n">
        <f aca="false">T83*$X83</f>
        <v>0</v>
      </c>
      <c r="AR83" s="48" t="n">
        <f aca="false">U83*$X83</f>
        <v>0</v>
      </c>
      <c r="AS83" s="48" t="n">
        <f aca="false">V83*$X83</f>
        <v>0</v>
      </c>
      <c r="AT83" s="48" t="n">
        <f aca="false">W83*$X83</f>
        <v>49.68</v>
      </c>
      <c r="AU83" s="48" t="n">
        <f aca="false">X83*$X83</f>
        <v>1.1664</v>
      </c>
      <c r="AV83" s="48" t="n">
        <f aca="false">Y83*$X83</f>
        <v>20.9952</v>
      </c>
      <c r="AW83" s="48" t="n">
        <f aca="false">Z83*$X83</f>
        <v>0</v>
      </c>
      <c r="AX83" s="48" t="n">
        <f aca="false">AA83*$X83</f>
        <v>0</v>
      </c>
      <c r="AY83" s="48" t="n">
        <f aca="false">AB83*$X83</f>
        <v>32.6592</v>
      </c>
      <c r="AZ83" s="48" t="n">
        <f aca="false">AC83*$X83</f>
        <v>0</v>
      </c>
      <c r="BA83" s="1"/>
      <c r="BB83" s="1"/>
      <c r="BC83" s="1"/>
      <c r="BD83" s="1"/>
      <c r="BE83" s="1"/>
      <c r="BF83" s="1"/>
    </row>
    <row r="84" s="48" customFormat="true" ht="15" hidden="false" customHeight="true" outlineLevel="0" collapsed="false">
      <c r="A84" s="42" t="s">
        <v>153</v>
      </c>
      <c r="B84" s="42" t="n">
        <v>26</v>
      </c>
      <c r="C84" s="43"/>
      <c r="D84" s="44"/>
      <c r="E84" s="44" t="n">
        <v>30</v>
      </c>
      <c r="F84" s="44" t="n">
        <v>5</v>
      </c>
      <c r="G84" s="44"/>
      <c r="H84" s="44" t="n">
        <f aca="false">B84+D84+E84+F84+G84+C84</f>
        <v>61</v>
      </c>
      <c r="I84" s="45"/>
      <c r="J84" s="49"/>
      <c r="K84" s="49"/>
      <c r="L84" s="49"/>
      <c r="M84" s="49"/>
      <c r="N84" s="49"/>
      <c r="O84" s="49" t="n">
        <v>45</v>
      </c>
      <c r="P84" s="49"/>
      <c r="Q84" s="49"/>
      <c r="R84" s="49"/>
      <c r="S84" s="49"/>
      <c r="T84" s="49"/>
      <c r="U84" s="49"/>
      <c r="V84" s="47" t="n">
        <f aca="false">J84+K84+L84+M84+N84+O84+P84+Q84+R84+S84+T84+U84</f>
        <v>45</v>
      </c>
      <c r="W84" s="47" t="n">
        <f aca="false">H84-V84</f>
        <v>16</v>
      </c>
      <c r="X84" s="48" t="n">
        <v>1.08</v>
      </c>
      <c r="Y84" s="48" t="n">
        <f aca="false">B84*$X84</f>
        <v>28.08</v>
      </c>
      <c r="Z84" s="48" t="n">
        <f aca="false">C84*$X84</f>
        <v>0</v>
      </c>
      <c r="AA84" s="48" t="n">
        <f aca="false">D84*$X84</f>
        <v>0</v>
      </c>
      <c r="AB84" s="48" t="n">
        <f aca="false">E84*$X84</f>
        <v>32.4</v>
      </c>
      <c r="AC84" s="48" t="n">
        <f aca="false">F84*$X84</f>
        <v>5.4</v>
      </c>
      <c r="AD84" s="48" t="n">
        <f aca="false">G84*$X84</f>
        <v>0</v>
      </c>
      <c r="AE84" s="48" t="n">
        <f aca="false">H84*$X84</f>
        <v>65.88</v>
      </c>
      <c r="AF84" s="48" t="n">
        <f aca="false">I84*$X84</f>
        <v>0</v>
      </c>
      <c r="AG84" s="48" t="n">
        <f aca="false">J84*$X84</f>
        <v>0</v>
      </c>
      <c r="AH84" s="48" t="n">
        <f aca="false">K84*$X84</f>
        <v>0</v>
      </c>
      <c r="AI84" s="48" t="n">
        <f aca="false">L84*$X84</f>
        <v>0</v>
      </c>
      <c r="AJ84" s="48" t="n">
        <f aca="false">M84*$X84</f>
        <v>0</v>
      </c>
      <c r="AK84" s="48" t="n">
        <f aca="false">N84*$X84</f>
        <v>0</v>
      </c>
      <c r="AL84" s="48" t="n">
        <f aca="false">O84*$X84</f>
        <v>48.6</v>
      </c>
      <c r="AM84" s="48" t="n">
        <f aca="false">P84*$X84</f>
        <v>0</v>
      </c>
      <c r="AN84" s="48" t="n">
        <f aca="false">Q84*$X84</f>
        <v>0</v>
      </c>
      <c r="AO84" s="48" t="n">
        <f aca="false">R84*$X84</f>
        <v>0</v>
      </c>
      <c r="AP84" s="48" t="n">
        <f aca="false">S84*$X84</f>
        <v>0</v>
      </c>
      <c r="AQ84" s="48" t="n">
        <f aca="false">T84*$X84</f>
        <v>0</v>
      </c>
      <c r="AR84" s="48" t="n">
        <f aca="false">U84*$X84</f>
        <v>0</v>
      </c>
      <c r="AS84" s="48" t="n">
        <f aca="false">V84*$X84</f>
        <v>48.6</v>
      </c>
      <c r="AT84" s="48" t="n">
        <f aca="false">W84*$X84</f>
        <v>17.28</v>
      </c>
      <c r="AU84" s="48" t="n">
        <f aca="false">X84*$X84</f>
        <v>1.1664</v>
      </c>
      <c r="AV84" s="48" t="n">
        <f aca="false">Y84*$X84</f>
        <v>30.3264</v>
      </c>
      <c r="AW84" s="48" t="n">
        <f aca="false">Z84*$X84</f>
        <v>0</v>
      </c>
      <c r="AX84" s="48" t="n">
        <f aca="false">AA84*$X84</f>
        <v>0</v>
      </c>
      <c r="AY84" s="48" t="n">
        <f aca="false">AB84*$X84</f>
        <v>34.992</v>
      </c>
      <c r="AZ84" s="48" t="n">
        <f aca="false">AC84*$X84</f>
        <v>5.832</v>
      </c>
      <c r="BA84" s="1"/>
      <c r="BB84" s="1"/>
      <c r="BC84" s="1"/>
      <c r="BD84" s="1"/>
      <c r="BE84" s="1"/>
      <c r="BF84" s="1"/>
    </row>
    <row r="85" s="48" customFormat="true" ht="15" hidden="false" customHeight="true" outlineLevel="0" collapsed="false">
      <c r="A85" s="42" t="s">
        <v>154</v>
      </c>
      <c r="B85" s="42" t="n">
        <v>0</v>
      </c>
      <c r="C85" s="43"/>
      <c r="D85" s="44"/>
      <c r="E85" s="44"/>
      <c r="F85" s="44"/>
      <c r="G85" s="44"/>
      <c r="H85" s="44" t="n">
        <f aca="false">B85+D85+E85+F85+G85+C85</f>
        <v>0</v>
      </c>
      <c r="I85" s="45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7" t="n">
        <f aca="false">J85+K85+L85+M85+N85+O85+P85+Q85+R85+S85+T85+U85</f>
        <v>0</v>
      </c>
      <c r="W85" s="47" t="n">
        <f aca="false">H85-V85</f>
        <v>0</v>
      </c>
      <c r="X85" s="48" t="n">
        <v>1.08</v>
      </c>
      <c r="Y85" s="48" t="n">
        <f aca="false">B85*$X85</f>
        <v>0</v>
      </c>
      <c r="Z85" s="48" t="n">
        <f aca="false">C85*$X85</f>
        <v>0</v>
      </c>
      <c r="AA85" s="48" t="n">
        <f aca="false">D85*$X85</f>
        <v>0</v>
      </c>
      <c r="AB85" s="48" t="n">
        <f aca="false">E85*$X85</f>
        <v>0</v>
      </c>
      <c r="AC85" s="48" t="n">
        <f aca="false">F85*$X85</f>
        <v>0</v>
      </c>
      <c r="AD85" s="48" t="n">
        <f aca="false">G85*$X85</f>
        <v>0</v>
      </c>
      <c r="AE85" s="48" t="n">
        <f aca="false">H85*$X85</f>
        <v>0</v>
      </c>
      <c r="AF85" s="48" t="n">
        <f aca="false">I85*$X85</f>
        <v>0</v>
      </c>
      <c r="AG85" s="48" t="n">
        <f aca="false">J85*$X85</f>
        <v>0</v>
      </c>
      <c r="AH85" s="48" t="n">
        <f aca="false">K85*$X85</f>
        <v>0</v>
      </c>
      <c r="AI85" s="48" t="n">
        <f aca="false">L85*$X85</f>
        <v>0</v>
      </c>
      <c r="AJ85" s="48" t="n">
        <f aca="false">M85*$X85</f>
        <v>0</v>
      </c>
      <c r="AK85" s="48" t="n">
        <f aca="false">N85*$X85</f>
        <v>0</v>
      </c>
      <c r="AL85" s="48" t="n">
        <f aca="false">O85*$X85</f>
        <v>0</v>
      </c>
      <c r="AM85" s="48" t="n">
        <f aca="false">P85*$X85</f>
        <v>0</v>
      </c>
      <c r="AN85" s="48" t="n">
        <f aca="false">Q85*$X85</f>
        <v>0</v>
      </c>
      <c r="AO85" s="48" t="n">
        <f aca="false">R85*$X85</f>
        <v>0</v>
      </c>
      <c r="AP85" s="48" t="n">
        <f aca="false">S85*$X85</f>
        <v>0</v>
      </c>
      <c r="AQ85" s="48" t="n">
        <f aca="false">T85*$X85</f>
        <v>0</v>
      </c>
      <c r="AR85" s="48" t="n">
        <f aca="false">U85*$X85</f>
        <v>0</v>
      </c>
      <c r="AS85" s="48" t="n">
        <f aca="false">V85*$X85</f>
        <v>0</v>
      </c>
      <c r="AT85" s="48" t="n">
        <f aca="false">W85*$X85</f>
        <v>0</v>
      </c>
      <c r="AU85" s="48" t="n">
        <f aca="false">X85*$X85</f>
        <v>1.1664</v>
      </c>
      <c r="AV85" s="48" t="n">
        <f aca="false">Y85*$X85</f>
        <v>0</v>
      </c>
      <c r="AW85" s="48" t="n">
        <f aca="false">Z85*$X85</f>
        <v>0</v>
      </c>
      <c r="AX85" s="48" t="n">
        <f aca="false">AA85*$X85</f>
        <v>0</v>
      </c>
      <c r="AY85" s="48" t="n">
        <f aca="false">AB85*$X85</f>
        <v>0</v>
      </c>
      <c r="AZ85" s="48" t="n">
        <f aca="false">AC85*$X85</f>
        <v>0</v>
      </c>
      <c r="BA85" s="1"/>
      <c r="BB85" s="1"/>
      <c r="BC85" s="1"/>
      <c r="BD85" s="1"/>
      <c r="BE85" s="1"/>
      <c r="BF85" s="1"/>
    </row>
    <row r="86" s="48" customFormat="true" ht="15" hidden="false" customHeight="true" outlineLevel="0" collapsed="false">
      <c r="A86" s="42" t="s">
        <v>155</v>
      </c>
      <c r="B86" s="42" t="n">
        <v>0</v>
      </c>
      <c r="C86" s="43"/>
      <c r="D86" s="44"/>
      <c r="E86" s="44"/>
      <c r="F86" s="44"/>
      <c r="G86" s="44"/>
      <c r="H86" s="44" t="n">
        <f aca="false">B86+D86+E86+F86+G86+C86</f>
        <v>0</v>
      </c>
      <c r="I86" s="45"/>
      <c r="J86" s="49"/>
      <c r="K86" s="49"/>
      <c r="L86" s="49"/>
      <c r="M86" s="49" t="n">
        <v>336</v>
      </c>
      <c r="N86" s="49"/>
      <c r="O86" s="49"/>
      <c r="P86" s="49"/>
      <c r="Q86" s="49"/>
      <c r="R86" s="49"/>
      <c r="S86" s="49"/>
      <c r="T86" s="49"/>
      <c r="U86" s="49"/>
      <c r="V86" s="47" t="n">
        <f aca="false">J86+K86+L86+M86+N86+O86+P86+Q86+R86+S86+T86+U86</f>
        <v>336</v>
      </c>
      <c r="W86" s="47" t="n">
        <f aca="false">H86-V86</f>
        <v>-336</v>
      </c>
      <c r="X86" s="48" t="n">
        <v>0.5</v>
      </c>
      <c r="Y86" s="48" t="n">
        <f aca="false">B86*$X86</f>
        <v>0</v>
      </c>
      <c r="Z86" s="48" t="n">
        <f aca="false">C86*$X86</f>
        <v>0</v>
      </c>
      <c r="AA86" s="48" t="n">
        <f aca="false">D86*$X86</f>
        <v>0</v>
      </c>
      <c r="AB86" s="48" t="n">
        <f aca="false">E86*$X86</f>
        <v>0</v>
      </c>
      <c r="AC86" s="48" t="n">
        <f aca="false">F86*$X86</f>
        <v>0</v>
      </c>
      <c r="AD86" s="48" t="n">
        <f aca="false">G86*$X86</f>
        <v>0</v>
      </c>
      <c r="AE86" s="48" t="n">
        <f aca="false">H86*$X86</f>
        <v>0</v>
      </c>
      <c r="AF86" s="48" t="n">
        <f aca="false">I86*$X86</f>
        <v>0</v>
      </c>
      <c r="AG86" s="48" t="n">
        <f aca="false">J86*$X86</f>
        <v>0</v>
      </c>
      <c r="AH86" s="48" t="n">
        <f aca="false">K86*$X86</f>
        <v>0</v>
      </c>
      <c r="AI86" s="48" t="n">
        <f aca="false">L86*$X86</f>
        <v>0</v>
      </c>
      <c r="AJ86" s="48" t="n">
        <f aca="false">M86*$X86</f>
        <v>168</v>
      </c>
      <c r="AK86" s="48" t="n">
        <f aca="false">N86*$X86</f>
        <v>0</v>
      </c>
      <c r="AL86" s="48" t="n">
        <f aca="false">O86*$X86</f>
        <v>0</v>
      </c>
      <c r="AM86" s="48" t="n">
        <f aca="false">P86*$X86</f>
        <v>0</v>
      </c>
      <c r="AN86" s="48" t="n">
        <f aca="false">Q86*$X86</f>
        <v>0</v>
      </c>
      <c r="AO86" s="48" t="n">
        <f aca="false">R86*$X86</f>
        <v>0</v>
      </c>
      <c r="AP86" s="48" t="n">
        <f aca="false">S86*$X86</f>
        <v>0</v>
      </c>
      <c r="AQ86" s="48" t="n">
        <f aca="false">T86*$X86</f>
        <v>0</v>
      </c>
      <c r="AR86" s="48" t="n">
        <f aca="false">U86*$X86</f>
        <v>0</v>
      </c>
      <c r="AS86" s="48" t="n">
        <f aca="false">V86*$X86</f>
        <v>168</v>
      </c>
      <c r="AT86" s="48" t="n">
        <f aca="false">W86*$X86</f>
        <v>-168</v>
      </c>
      <c r="AU86" s="48" t="n">
        <f aca="false">X86*$X86</f>
        <v>0.25</v>
      </c>
      <c r="AV86" s="48" t="n">
        <f aca="false">Y86*$X86</f>
        <v>0</v>
      </c>
      <c r="AW86" s="48" t="n">
        <f aca="false">Z86*$X86</f>
        <v>0</v>
      </c>
      <c r="AX86" s="48" t="n">
        <f aca="false">AA86*$X86</f>
        <v>0</v>
      </c>
      <c r="AY86" s="48" t="n">
        <f aca="false">AB86*$X86</f>
        <v>0</v>
      </c>
      <c r="AZ86" s="48" t="n">
        <f aca="false">AC86*$X86</f>
        <v>0</v>
      </c>
      <c r="BA86" s="1"/>
      <c r="BB86" s="1"/>
      <c r="BC86" s="1"/>
      <c r="BD86" s="1"/>
      <c r="BE86" s="1"/>
      <c r="BF86" s="1"/>
    </row>
    <row r="87" s="48" customFormat="true" ht="15" hidden="false" customHeight="true" outlineLevel="0" collapsed="false">
      <c r="A87" s="42" t="s">
        <v>156</v>
      </c>
      <c r="B87" s="42" t="n">
        <v>10</v>
      </c>
      <c r="C87" s="43"/>
      <c r="D87" s="44"/>
      <c r="E87" s="44"/>
      <c r="F87" s="44"/>
      <c r="G87" s="44"/>
      <c r="H87" s="44" t="n">
        <f aca="false">B87+D87+E87+F87+G87+C87</f>
        <v>10</v>
      </c>
      <c r="I87" s="45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7" t="n">
        <f aca="false">J87+K87+L87+M87+N87+O87+P87+Q87+R87+S87+T87+U87</f>
        <v>0</v>
      </c>
      <c r="W87" s="47" t="n">
        <f aca="false">H87-V87</f>
        <v>10</v>
      </c>
      <c r="X87" s="48" t="n">
        <v>12.4</v>
      </c>
      <c r="Y87" s="48" t="n">
        <f aca="false">B87*$X87</f>
        <v>124</v>
      </c>
      <c r="Z87" s="48" t="n">
        <f aca="false">C87*$X87</f>
        <v>0</v>
      </c>
      <c r="AA87" s="48" t="n">
        <f aca="false">D87*$X87</f>
        <v>0</v>
      </c>
      <c r="AB87" s="48" t="n">
        <f aca="false">E87*$X87</f>
        <v>0</v>
      </c>
      <c r="AC87" s="48" t="n">
        <f aca="false">F87*$X87</f>
        <v>0</v>
      </c>
      <c r="AD87" s="48" t="n">
        <f aca="false">G87*$X87</f>
        <v>0</v>
      </c>
      <c r="AE87" s="48" t="n">
        <f aca="false">H87*$X87</f>
        <v>124</v>
      </c>
      <c r="AF87" s="48" t="n">
        <f aca="false">I87*$X87</f>
        <v>0</v>
      </c>
      <c r="AG87" s="48" t="n">
        <f aca="false">J87*$X87</f>
        <v>0</v>
      </c>
      <c r="AH87" s="48" t="n">
        <f aca="false">K87*$X87</f>
        <v>0</v>
      </c>
      <c r="AI87" s="48" t="n">
        <f aca="false">L87*$X87</f>
        <v>0</v>
      </c>
      <c r="AJ87" s="48" t="n">
        <f aca="false">M87*$X87</f>
        <v>0</v>
      </c>
      <c r="AK87" s="48" t="n">
        <f aca="false">N87*$X87</f>
        <v>0</v>
      </c>
      <c r="AL87" s="48" t="n">
        <f aca="false">O87*$X87</f>
        <v>0</v>
      </c>
      <c r="AM87" s="48" t="n">
        <f aca="false">P87*$X87</f>
        <v>0</v>
      </c>
      <c r="AN87" s="48" t="n">
        <f aca="false">Q87*$X87</f>
        <v>0</v>
      </c>
      <c r="AO87" s="48" t="n">
        <f aca="false">R87*$X87</f>
        <v>0</v>
      </c>
      <c r="AP87" s="48" t="n">
        <f aca="false">S87*$X87</f>
        <v>0</v>
      </c>
      <c r="AQ87" s="48" t="n">
        <f aca="false">T87*$X87</f>
        <v>0</v>
      </c>
      <c r="AR87" s="48" t="n">
        <f aca="false">U87*$X87</f>
        <v>0</v>
      </c>
      <c r="AS87" s="48" t="n">
        <f aca="false">V87*$X87</f>
        <v>0</v>
      </c>
      <c r="AT87" s="48" t="n">
        <f aca="false">W87*$X87</f>
        <v>124</v>
      </c>
      <c r="AU87" s="48" t="n">
        <f aca="false">X87*$X87</f>
        <v>153.76</v>
      </c>
      <c r="AV87" s="48" t="n">
        <f aca="false">Y87*$X87</f>
        <v>1537.6</v>
      </c>
      <c r="AW87" s="48" t="n">
        <f aca="false">Z87*$X87</f>
        <v>0</v>
      </c>
      <c r="AX87" s="48" t="n">
        <f aca="false">AA87*$X87</f>
        <v>0</v>
      </c>
      <c r="AY87" s="48" t="n">
        <f aca="false">AB87*$X87</f>
        <v>0</v>
      </c>
      <c r="AZ87" s="48" t="n">
        <f aca="false">AC87*$X87</f>
        <v>0</v>
      </c>
      <c r="BA87" s="1"/>
      <c r="BB87" s="1"/>
      <c r="BC87" s="1"/>
      <c r="BD87" s="1"/>
      <c r="BE87" s="1"/>
      <c r="BF87" s="1"/>
    </row>
    <row r="88" s="48" customFormat="true" ht="15" hidden="false" customHeight="true" outlineLevel="0" collapsed="false">
      <c r="A88" s="42" t="s">
        <v>157</v>
      </c>
      <c r="B88" s="42" t="n">
        <v>152</v>
      </c>
      <c r="C88" s="43"/>
      <c r="D88" s="44"/>
      <c r="E88" s="44"/>
      <c r="F88" s="44"/>
      <c r="G88" s="44"/>
      <c r="H88" s="44" t="n">
        <f aca="false">B88+D88+E88+F88+G88+C88</f>
        <v>152</v>
      </c>
      <c r="I88" s="45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7" t="n">
        <f aca="false">J88+K88+L88+M88+N88+O88+P88+Q88+R88+S88+T88+U88</f>
        <v>0</v>
      </c>
      <c r="W88" s="47" t="n">
        <f aca="false">H88-V88</f>
        <v>152</v>
      </c>
      <c r="X88" s="48" t="n">
        <v>0.45</v>
      </c>
      <c r="Y88" s="48" t="n">
        <f aca="false">B88*$X88</f>
        <v>68.4</v>
      </c>
      <c r="Z88" s="48" t="n">
        <f aca="false">C88*$X88</f>
        <v>0</v>
      </c>
      <c r="AA88" s="48" t="n">
        <f aca="false">D88*$X88</f>
        <v>0</v>
      </c>
      <c r="AB88" s="48" t="n">
        <f aca="false">E88*$X88</f>
        <v>0</v>
      </c>
      <c r="AC88" s="48" t="n">
        <f aca="false">F88*$X88</f>
        <v>0</v>
      </c>
      <c r="AD88" s="48" t="n">
        <f aca="false">G88*$X88</f>
        <v>0</v>
      </c>
      <c r="AE88" s="48" t="n">
        <f aca="false">H88*$X88</f>
        <v>68.4</v>
      </c>
      <c r="AF88" s="48" t="n">
        <f aca="false">I88*$X88</f>
        <v>0</v>
      </c>
      <c r="AG88" s="48" t="n">
        <f aca="false">J88*$X88</f>
        <v>0</v>
      </c>
      <c r="AH88" s="48" t="n">
        <f aca="false">K88*$X88</f>
        <v>0</v>
      </c>
      <c r="AI88" s="48" t="n">
        <f aca="false">L88*$X88</f>
        <v>0</v>
      </c>
      <c r="AJ88" s="48" t="n">
        <f aca="false">M88*$X88</f>
        <v>0</v>
      </c>
      <c r="AK88" s="48" t="n">
        <f aca="false">N88*$X88</f>
        <v>0</v>
      </c>
      <c r="AL88" s="48" t="n">
        <f aca="false">O88*$X88</f>
        <v>0</v>
      </c>
      <c r="AM88" s="48" t="n">
        <f aca="false">P88*$X88</f>
        <v>0</v>
      </c>
      <c r="AN88" s="48" t="n">
        <f aca="false">Q88*$X88</f>
        <v>0</v>
      </c>
      <c r="AO88" s="48" t="n">
        <f aca="false">R88*$X88</f>
        <v>0</v>
      </c>
      <c r="AP88" s="48" t="n">
        <f aca="false">S88*$X88</f>
        <v>0</v>
      </c>
      <c r="AQ88" s="48" t="n">
        <f aca="false">T88*$X88</f>
        <v>0</v>
      </c>
      <c r="AR88" s="48" t="n">
        <f aca="false">U88*$X88</f>
        <v>0</v>
      </c>
      <c r="AS88" s="48" t="n">
        <f aca="false">V88*$X88</f>
        <v>0</v>
      </c>
      <c r="AT88" s="48" t="n">
        <f aca="false">W88*$X88</f>
        <v>68.4</v>
      </c>
      <c r="AU88" s="48" t="n">
        <f aca="false">X88*$X88</f>
        <v>0.2025</v>
      </c>
      <c r="AV88" s="48" t="n">
        <f aca="false">Y88*$X88</f>
        <v>30.78</v>
      </c>
      <c r="AW88" s="48" t="n">
        <f aca="false">Z88*$X88</f>
        <v>0</v>
      </c>
      <c r="AX88" s="48" t="n">
        <f aca="false">AA88*$X88</f>
        <v>0</v>
      </c>
      <c r="AY88" s="48" t="n">
        <f aca="false">AB88*$X88</f>
        <v>0</v>
      </c>
      <c r="AZ88" s="48" t="n">
        <f aca="false">AC88*$X88</f>
        <v>0</v>
      </c>
      <c r="BA88" s="1"/>
      <c r="BB88" s="1"/>
      <c r="BC88" s="1"/>
      <c r="BD88" s="1"/>
      <c r="BE88" s="1"/>
      <c r="BF88" s="1"/>
    </row>
    <row r="89" s="48" customFormat="true" ht="15" hidden="false" customHeight="true" outlineLevel="0" collapsed="false">
      <c r="A89" s="42" t="s">
        <v>158</v>
      </c>
      <c r="B89" s="42" t="n">
        <v>1</v>
      </c>
      <c r="C89" s="43"/>
      <c r="D89" s="44"/>
      <c r="E89" s="44"/>
      <c r="F89" s="44"/>
      <c r="G89" s="44"/>
      <c r="H89" s="44" t="n">
        <f aca="false">B89+D89+E89+F89+G89+C89</f>
        <v>1</v>
      </c>
      <c r="I89" s="45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 t="n">
        <v>1</v>
      </c>
      <c r="V89" s="47" t="n">
        <f aca="false">J89+K89+L89+M89+N89+O89+P89+Q89+R89+S89+T89+U89</f>
        <v>1</v>
      </c>
      <c r="W89" s="47" t="n">
        <f aca="false">H89-V89</f>
        <v>0</v>
      </c>
      <c r="X89" s="48" t="n">
        <v>6.75</v>
      </c>
      <c r="Y89" s="48" t="n">
        <f aca="false">B89*$X89</f>
        <v>6.75</v>
      </c>
      <c r="Z89" s="48" t="n">
        <f aca="false">C89*$X89</f>
        <v>0</v>
      </c>
      <c r="AA89" s="48" t="n">
        <f aca="false">D89*$X89</f>
        <v>0</v>
      </c>
      <c r="AB89" s="48" t="n">
        <f aca="false">E89*$X89</f>
        <v>0</v>
      </c>
      <c r="AC89" s="48" t="n">
        <f aca="false">F89*$X89</f>
        <v>0</v>
      </c>
      <c r="AD89" s="48" t="n">
        <f aca="false">G89*$X89</f>
        <v>0</v>
      </c>
      <c r="AE89" s="48" t="n">
        <f aca="false">H89*$X89</f>
        <v>6.75</v>
      </c>
      <c r="AF89" s="48" t="n">
        <f aca="false">I89*$X89</f>
        <v>0</v>
      </c>
      <c r="AG89" s="48" t="n">
        <f aca="false">J89*$X89</f>
        <v>0</v>
      </c>
      <c r="AH89" s="48" t="n">
        <f aca="false">K89*$X89</f>
        <v>0</v>
      </c>
      <c r="AI89" s="48" t="n">
        <f aca="false">L89*$X89</f>
        <v>0</v>
      </c>
      <c r="AJ89" s="48" t="n">
        <f aca="false">M89*$X89</f>
        <v>0</v>
      </c>
      <c r="AK89" s="48" t="n">
        <f aca="false">N89*$X89</f>
        <v>0</v>
      </c>
      <c r="AL89" s="48" t="n">
        <f aca="false">O89*$X89</f>
        <v>0</v>
      </c>
      <c r="AM89" s="48" t="n">
        <f aca="false">P89*$X89</f>
        <v>0</v>
      </c>
      <c r="AN89" s="48" t="n">
        <f aca="false">Q89*$X89</f>
        <v>0</v>
      </c>
      <c r="AO89" s="48" t="n">
        <f aca="false">R89*$X89</f>
        <v>0</v>
      </c>
      <c r="AP89" s="48" t="n">
        <f aca="false">S89*$X89</f>
        <v>0</v>
      </c>
      <c r="AQ89" s="48" t="n">
        <f aca="false">T89*$X89</f>
        <v>0</v>
      </c>
      <c r="AR89" s="48" t="n">
        <f aca="false">U89*$X89</f>
        <v>6.75</v>
      </c>
      <c r="AS89" s="48" t="n">
        <f aca="false">V89*$X89</f>
        <v>6.75</v>
      </c>
      <c r="AT89" s="48" t="n">
        <f aca="false">W89*$X89</f>
        <v>0</v>
      </c>
      <c r="AU89" s="48" t="n">
        <f aca="false">X89*$X89</f>
        <v>45.5625</v>
      </c>
      <c r="AV89" s="48" t="n">
        <f aca="false">Y89*$X89</f>
        <v>45.5625</v>
      </c>
      <c r="AW89" s="48" t="n">
        <f aca="false">Z89*$X89</f>
        <v>0</v>
      </c>
      <c r="AX89" s="48" t="n">
        <f aca="false">AA89*$X89</f>
        <v>0</v>
      </c>
      <c r="AY89" s="48" t="n">
        <f aca="false">AB89*$X89</f>
        <v>0</v>
      </c>
      <c r="AZ89" s="48" t="n">
        <f aca="false">AC89*$X89</f>
        <v>0</v>
      </c>
      <c r="BA89" s="1"/>
      <c r="BB89" s="1"/>
      <c r="BC89" s="1"/>
      <c r="BD89" s="1"/>
      <c r="BE89" s="1"/>
      <c r="BF89" s="1"/>
    </row>
    <row r="90" s="48" customFormat="true" ht="15" hidden="false" customHeight="true" outlineLevel="0" collapsed="false">
      <c r="A90" s="42" t="s">
        <v>159</v>
      </c>
      <c r="B90" s="42" t="n">
        <v>10</v>
      </c>
      <c r="C90" s="43"/>
      <c r="D90" s="44"/>
      <c r="E90" s="44"/>
      <c r="F90" s="44"/>
      <c r="G90" s="44"/>
      <c r="H90" s="44" t="n">
        <f aca="false">B90+D90+E90+F90+G90+C90</f>
        <v>10</v>
      </c>
      <c r="I90" s="45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 t="n">
        <v>7</v>
      </c>
      <c r="V90" s="47" t="n">
        <f aca="false">J90+K90+L90+M90+N90+O90+P90+Q90+R90+S90+T90+U90</f>
        <v>7</v>
      </c>
      <c r="W90" s="47" t="n">
        <f aca="false">H90-V90</f>
        <v>3</v>
      </c>
      <c r="X90" s="48" t="n">
        <v>9</v>
      </c>
      <c r="Y90" s="48" t="n">
        <f aca="false">B90*$X90</f>
        <v>90</v>
      </c>
      <c r="Z90" s="48" t="n">
        <f aca="false">C90*$X90</f>
        <v>0</v>
      </c>
      <c r="AA90" s="48" t="n">
        <f aca="false">D90*$X90</f>
        <v>0</v>
      </c>
      <c r="AB90" s="48" t="n">
        <f aca="false">E90*$X90</f>
        <v>0</v>
      </c>
      <c r="AC90" s="48" t="n">
        <f aca="false">F90*$X90</f>
        <v>0</v>
      </c>
      <c r="AD90" s="48" t="n">
        <f aca="false">G90*$X90</f>
        <v>0</v>
      </c>
      <c r="AE90" s="48" t="n">
        <f aca="false">H90*$X90</f>
        <v>90</v>
      </c>
      <c r="AF90" s="48" t="n">
        <f aca="false">I90*$X90</f>
        <v>0</v>
      </c>
      <c r="AG90" s="48" t="n">
        <f aca="false">J90*$X90</f>
        <v>0</v>
      </c>
      <c r="AH90" s="48" t="n">
        <f aca="false">K90*$X90</f>
        <v>0</v>
      </c>
      <c r="AI90" s="48" t="n">
        <f aca="false">L90*$X90</f>
        <v>0</v>
      </c>
      <c r="AJ90" s="48" t="n">
        <f aca="false">M90*$X90</f>
        <v>0</v>
      </c>
      <c r="AK90" s="48" t="n">
        <f aca="false">N90*$X90</f>
        <v>0</v>
      </c>
      <c r="AL90" s="48" t="n">
        <f aca="false">O90*$X90</f>
        <v>0</v>
      </c>
      <c r="AM90" s="48" t="n">
        <f aca="false">P90*$X90</f>
        <v>0</v>
      </c>
      <c r="AN90" s="48" t="n">
        <f aca="false">Q90*$X90</f>
        <v>0</v>
      </c>
      <c r="AO90" s="48" t="n">
        <f aca="false">R90*$X90</f>
        <v>0</v>
      </c>
      <c r="AP90" s="48" t="n">
        <f aca="false">S90*$X90</f>
        <v>0</v>
      </c>
      <c r="AQ90" s="48" t="n">
        <f aca="false">T90*$X90</f>
        <v>0</v>
      </c>
      <c r="AR90" s="48" t="n">
        <f aca="false">U90*$X90</f>
        <v>63</v>
      </c>
      <c r="AS90" s="48" t="n">
        <f aca="false">V90*$X90</f>
        <v>63</v>
      </c>
      <c r="AT90" s="48" t="n">
        <f aca="false">W90*$X90</f>
        <v>27</v>
      </c>
      <c r="AU90" s="48" t="n">
        <f aca="false">X90*$X90</f>
        <v>81</v>
      </c>
      <c r="AV90" s="48" t="n">
        <f aca="false">Y90*$X90</f>
        <v>810</v>
      </c>
      <c r="AW90" s="48" t="n">
        <f aca="false">Z90*$X90</f>
        <v>0</v>
      </c>
      <c r="AX90" s="48" t="n">
        <f aca="false">AA90*$X90</f>
        <v>0</v>
      </c>
      <c r="AY90" s="48" t="n">
        <f aca="false">AB90*$X90</f>
        <v>0</v>
      </c>
      <c r="AZ90" s="48" t="n">
        <f aca="false">AC90*$X90</f>
        <v>0</v>
      </c>
      <c r="BA90" s="1"/>
      <c r="BB90" s="1"/>
      <c r="BC90" s="1"/>
      <c r="BD90" s="1"/>
      <c r="BE90" s="1"/>
      <c r="BF90" s="1"/>
    </row>
    <row r="91" s="48" customFormat="true" ht="15" hidden="false" customHeight="true" outlineLevel="0" collapsed="false">
      <c r="A91" s="42" t="s">
        <v>160</v>
      </c>
      <c r="B91" s="42" t="n">
        <v>33</v>
      </c>
      <c r="C91" s="43"/>
      <c r="D91" s="44"/>
      <c r="E91" s="44" t="n">
        <v>17</v>
      </c>
      <c r="F91" s="44"/>
      <c r="G91" s="44"/>
      <c r="H91" s="44" t="n">
        <f aca="false">B91+D91+E91+F91+G91+C91</f>
        <v>50</v>
      </c>
      <c r="I91" s="45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 t="n">
        <v>20</v>
      </c>
      <c r="V91" s="47" t="n">
        <f aca="false">J91+K91+L91+M91+N91+O91+P91+Q91+R91+S91+T91+U91</f>
        <v>20</v>
      </c>
      <c r="W91" s="47" t="n">
        <f aca="false">H91-V91</f>
        <v>30</v>
      </c>
      <c r="X91" s="48" t="n">
        <v>18</v>
      </c>
      <c r="Y91" s="48" t="n">
        <f aca="false">B91*$X91</f>
        <v>594</v>
      </c>
      <c r="Z91" s="48" t="n">
        <f aca="false">C91*$X91</f>
        <v>0</v>
      </c>
      <c r="AA91" s="48" t="n">
        <f aca="false">D91*$X91</f>
        <v>0</v>
      </c>
      <c r="AB91" s="48" t="n">
        <f aca="false">E91*$X91</f>
        <v>306</v>
      </c>
      <c r="AC91" s="48" t="n">
        <f aca="false">F91*$X91</f>
        <v>0</v>
      </c>
      <c r="AD91" s="48" t="n">
        <f aca="false">G91*$X91</f>
        <v>0</v>
      </c>
      <c r="AE91" s="48" t="n">
        <f aca="false">H91*$X91</f>
        <v>900</v>
      </c>
      <c r="AF91" s="48" t="n">
        <f aca="false">I91*$X91</f>
        <v>0</v>
      </c>
      <c r="AG91" s="48" t="n">
        <f aca="false">J91*$X91</f>
        <v>0</v>
      </c>
      <c r="AH91" s="48" t="n">
        <f aca="false">K91*$X91</f>
        <v>0</v>
      </c>
      <c r="AI91" s="48" t="n">
        <f aca="false">L91*$X91</f>
        <v>0</v>
      </c>
      <c r="AJ91" s="48" t="n">
        <f aca="false">M91*$X91</f>
        <v>0</v>
      </c>
      <c r="AK91" s="48" t="n">
        <f aca="false">N91*$X91</f>
        <v>0</v>
      </c>
      <c r="AL91" s="48" t="n">
        <f aca="false">O91*$X91</f>
        <v>0</v>
      </c>
      <c r="AM91" s="48" t="n">
        <f aca="false">P91*$X91</f>
        <v>0</v>
      </c>
      <c r="AN91" s="48" t="n">
        <f aca="false">Q91*$X91</f>
        <v>0</v>
      </c>
      <c r="AO91" s="48" t="n">
        <f aca="false">R91*$X91</f>
        <v>0</v>
      </c>
      <c r="AP91" s="48" t="n">
        <f aca="false">S91*$X91</f>
        <v>0</v>
      </c>
      <c r="AQ91" s="48" t="n">
        <f aca="false">T91*$X91</f>
        <v>0</v>
      </c>
      <c r="AR91" s="48" t="n">
        <f aca="false">U91*$X91</f>
        <v>360</v>
      </c>
      <c r="AS91" s="48" t="n">
        <f aca="false">V91*$X91</f>
        <v>360</v>
      </c>
      <c r="AT91" s="48" t="n">
        <f aca="false">W91*$X91</f>
        <v>540</v>
      </c>
      <c r="AU91" s="48" t="n">
        <f aca="false">X91*$X91</f>
        <v>324</v>
      </c>
      <c r="AV91" s="48" t="n">
        <f aca="false">Y91*$X91</f>
        <v>10692</v>
      </c>
      <c r="AW91" s="48" t="n">
        <f aca="false">Z91*$X91</f>
        <v>0</v>
      </c>
      <c r="AX91" s="48" t="n">
        <f aca="false">AA91*$X91</f>
        <v>0</v>
      </c>
      <c r="AY91" s="48" t="n">
        <f aca="false">AB91*$X91</f>
        <v>5508</v>
      </c>
      <c r="AZ91" s="48" t="n">
        <f aca="false">AC91*$X91</f>
        <v>0</v>
      </c>
      <c r="BA91" s="1"/>
      <c r="BB91" s="1"/>
      <c r="BC91" s="1"/>
      <c r="BD91" s="1"/>
      <c r="BE91" s="1"/>
      <c r="BF91" s="1"/>
    </row>
    <row r="92" s="48" customFormat="true" ht="15" hidden="false" customHeight="true" outlineLevel="0" collapsed="false">
      <c r="A92" s="42" t="s">
        <v>161</v>
      </c>
      <c r="B92" s="42" t="n">
        <v>18</v>
      </c>
      <c r="C92" s="43"/>
      <c r="D92" s="44"/>
      <c r="E92" s="44"/>
      <c r="F92" s="44"/>
      <c r="G92" s="44"/>
      <c r="H92" s="44" t="n">
        <f aca="false">B92+D92+E92+F92+G92+C92</f>
        <v>18</v>
      </c>
      <c r="I92" s="45"/>
      <c r="J92" s="49"/>
      <c r="K92" s="49" t="n">
        <v>0</v>
      </c>
      <c r="L92" s="49"/>
      <c r="M92" s="49" t="n">
        <v>18</v>
      </c>
      <c r="N92" s="49"/>
      <c r="O92" s="49"/>
      <c r="P92" s="49"/>
      <c r="Q92" s="49"/>
      <c r="R92" s="49"/>
      <c r="S92" s="49"/>
      <c r="T92" s="49"/>
      <c r="U92" s="49"/>
      <c r="V92" s="47" t="n">
        <f aca="false">J92+K92+L92+M92+N92+O92+P92+Q92+R92+S92+T92+U92</f>
        <v>18</v>
      </c>
      <c r="W92" s="47" t="n">
        <f aca="false">H92-V92</f>
        <v>0</v>
      </c>
      <c r="X92" s="48" t="n">
        <v>5.5</v>
      </c>
      <c r="Y92" s="48" t="n">
        <f aca="false">B92*$X92</f>
        <v>99</v>
      </c>
      <c r="Z92" s="48" t="n">
        <f aca="false">C92*$X92</f>
        <v>0</v>
      </c>
      <c r="AA92" s="48" t="n">
        <f aca="false">D92*$X92</f>
        <v>0</v>
      </c>
      <c r="AB92" s="48" t="n">
        <f aca="false">E92*$X92</f>
        <v>0</v>
      </c>
      <c r="AC92" s="48" t="n">
        <f aca="false">F92*$X92</f>
        <v>0</v>
      </c>
      <c r="AD92" s="48" t="n">
        <f aca="false">G92*$X92</f>
        <v>0</v>
      </c>
      <c r="AE92" s="48" t="n">
        <f aca="false">H92*$X92</f>
        <v>99</v>
      </c>
      <c r="AF92" s="48" t="n">
        <f aca="false">I92*$X92</f>
        <v>0</v>
      </c>
      <c r="AG92" s="48" t="n">
        <f aca="false">J92*$X92</f>
        <v>0</v>
      </c>
      <c r="AH92" s="48" t="n">
        <f aca="false">K92*$X92</f>
        <v>0</v>
      </c>
      <c r="AI92" s="48" t="n">
        <f aca="false">L92*$X92</f>
        <v>0</v>
      </c>
      <c r="AJ92" s="48" t="n">
        <f aca="false">M92*$X92</f>
        <v>99</v>
      </c>
      <c r="AK92" s="48" t="n">
        <f aca="false">N92*$X92</f>
        <v>0</v>
      </c>
      <c r="AL92" s="48" t="n">
        <f aca="false">O92*$X92</f>
        <v>0</v>
      </c>
      <c r="AM92" s="48" t="n">
        <f aca="false">P92*$X92</f>
        <v>0</v>
      </c>
      <c r="AN92" s="48" t="n">
        <f aca="false">Q92*$X92</f>
        <v>0</v>
      </c>
      <c r="AO92" s="48" t="n">
        <f aca="false">R92*$X92</f>
        <v>0</v>
      </c>
      <c r="AP92" s="48" t="n">
        <f aca="false">S92*$X92</f>
        <v>0</v>
      </c>
      <c r="AQ92" s="48" t="n">
        <f aca="false">T92*$X92</f>
        <v>0</v>
      </c>
      <c r="AR92" s="48" t="n">
        <f aca="false">U92*$X92</f>
        <v>0</v>
      </c>
      <c r="AS92" s="48" t="n">
        <f aca="false">V92*$X92</f>
        <v>99</v>
      </c>
      <c r="AT92" s="48" t="n">
        <f aca="false">W92*$X92</f>
        <v>0</v>
      </c>
      <c r="AU92" s="48" t="n">
        <f aca="false">X92*$X92</f>
        <v>30.25</v>
      </c>
      <c r="AV92" s="48" t="n">
        <f aca="false">Y92*$X92</f>
        <v>544.5</v>
      </c>
      <c r="AW92" s="48" t="n">
        <f aca="false">Z92*$X92</f>
        <v>0</v>
      </c>
      <c r="AX92" s="48" t="n">
        <f aca="false">AA92*$X92</f>
        <v>0</v>
      </c>
      <c r="AY92" s="48" t="n">
        <f aca="false">AB92*$X92</f>
        <v>0</v>
      </c>
      <c r="AZ92" s="48" t="n">
        <f aca="false">AC92*$X92</f>
        <v>0</v>
      </c>
      <c r="BA92" s="1"/>
      <c r="BB92" s="1"/>
      <c r="BC92" s="1"/>
      <c r="BD92" s="1"/>
      <c r="BE92" s="1"/>
      <c r="BF92" s="1"/>
    </row>
    <row r="93" s="48" customFormat="true" ht="15" hidden="false" customHeight="true" outlineLevel="0" collapsed="false">
      <c r="A93" s="42" t="s">
        <v>162</v>
      </c>
      <c r="B93" s="42" t="n">
        <v>66</v>
      </c>
      <c r="C93" s="43"/>
      <c r="D93" s="44" t="n">
        <v>6</v>
      </c>
      <c r="E93" s="44" t="n">
        <v>8</v>
      </c>
      <c r="F93" s="44"/>
      <c r="G93" s="44"/>
      <c r="H93" s="44" t="n">
        <f aca="false">B93+D93+E93+F93+G93+C93</f>
        <v>80</v>
      </c>
      <c r="I93" s="45"/>
      <c r="J93" s="49"/>
      <c r="K93" s="49" t="n">
        <v>2</v>
      </c>
      <c r="L93" s="49"/>
      <c r="M93" s="49" t="n">
        <v>63</v>
      </c>
      <c r="N93" s="49"/>
      <c r="O93" s="49"/>
      <c r="P93" s="49"/>
      <c r="Q93" s="49"/>
      <c r="R93" s="49"/>
      <c r="S93" s="49"/>
      <c r="T93" s="49"/>
      <c r="U93" s="49"/>
      <c r="V93" s="47" t="n">
        <f aca="false">J93+K93+L93+M93+N93+O93+P93+Q93+R93+S93+T93+U93</f>
        <v>65</v>
      </c>
      <c r="W93" s="47" t="n">
        <f aca="false">H93-V93</f>
        <v>15</v>
      </c>
      <c r="X93" s="48" t="n">
        <v>8.25</v>
      </c>
      <c r="Y93" s="48" t="n">
        <f aca="false">B93*$X93</f>
        <v>544.5</v>
      </c>
      <c r="Z93" s="48" t="n">
        <f aca="false">C93*$X93</f>
        <v>0</v>
      </c>
      <c r="AA93" s="48" t="n">
        <f aca="false">D93*$X93</f>
        <v>49.5</v>
      </c>
      <c r="AB93" s="48" t="n">
        <f aca="false">E93*$X93</f>
        <v>66</v>
      </c>
      <c r="AC93" s="48" t="n">
        <f aca="false">F93*$X93</f>
        <v>0</v>
      </c>
      <c r="AD93" s="48" t="n">
        <f aca="false">G93*$X93</f>
        <v>0</v>
      </c>
      <c r="AE93" s="48" t="n">
        <f aca="false">H93*$X93</f>
        <v>660</v>
      </c>
      <c r="AF93" s="48" t="n">
        <f aca="false">I93*$X93</f>
        <v>0</v>
      </c>
      <c r="AG93" s="48" t="n">
        <f aca="false">J93*$X93</f>
        <v>0</v>
      </c>
      <c r="AH93" s="48" t="n">
        <f aca="false">K93*$X93</f>
        <v>16.5</v>
      </c>
      <c r="AI93" s="48" t="n">
        <f aca="false">L93*$X93</f>
        <v>0</v>
      </c>
      <c r="AJ93" s="48" t="n">
        <f aca="false">M93*$X93</f>
        <v>519.75</v>
      </c>
      <c r="AK93" s="48" t="n">
        <f aca="false">N93*$X93</f>
        <v>0</v>
      </c>
      <c r="AL93" s="48" t="n">
        <f aca="false">O93*$X93</f>
        <v>0</v>
      </c>
      <c r="AM93" s="48" t="n">
        <f aca="false">P93*$X93</f>
        <v>0</v>
      </c>
      <c r="AN93" s="48" t="n">
        <f aca="false">Q93*$X93</f>
        <v>0</v>
      </c>
      <c r="AO93" s="48" t="n">
        <f aca="false">R93*$X93</f>
        <v>0</v>
      </c>
      <c r="AP93" s="48" t="n">
        <f aca="false">S93*$X93</f>
        <v>0</v>
      </c>
      <c r="AQ93" s="48" t="n">
        <f aca="false">T93*$X93</f>
        <v>0</v>
      </c>
      <c r="AR93" s="48" t="n">
        <f aca="false">U93*$X93</f>
        <v>0</v>
      </c>
      <c r="AS93" s="48" t="n">
        <f aca="false">V93*$X93</f>
        <v>536.25</v>
      </c>
      <c r="AT93" s="48" t="n">
        <f aca="false">W93*$X93</f>
        <v>123.75</v>
      </c>
      <c r="AU93" s="48" t="n">
        <f aca="false">X93*$X93</f>
        <v>68.0625</v>
      </c>
      <c r="AV93" s="48" t="n">
        <f aca="false">Y93*$X93</f>
        <v>4492.125</v>
      </c>
      <c r="AW93" s="48" t="n">
        <f aca="false">Z93*$X93</f>
        <v>0</v>
      </c>
      <c r="AX93" s="48" t="n">
        <f aca="false">AA93*$X93</f>
        <v>408.375</v>
      </c>
      <c r="AY93" s="48" t="n">
        <f aca="false">AB93*$X93</f>
        <v>544.5</v>
      </c>
      <c r="AZ93" s="48" t="n">
        <f aca="false">AC93*$X93</f>
        <v>0</v>
      </c>
      <c r="BA93" s="1"/>
      <c r="BB93" s="1"/>
      <c r="BC93" s="1"/>
      <c r="BD93" s="1"/>
      <c r="BE93" s="1"/>
      <c r="BF93" s="1"/>
    </row>
    <row r="94" s="48" customFormat="true" ht="15" hidden="false" customHeight="true" outlineLevel="0" collapsed="false">
      <c r="A94" s="42" t="s">
        <v>163</v>
      </c>
      <c r="B94" s="42" t="n">
        <v>45</v>
      </c>
      <c r="C94" s="43" t="n">
        <v>3</v>
      </c>
      <c r="D94" s="44"/>
      <c r="E94" s="44" t="n">
        <v>22</v>
      </c>
      <c r="F94" s="44"/>
      <c r="G94" s="44" t="n">
        <v>18</v>
      </c>
      <c r="H94" s="44" t="n">
        <f aca="false">B94+D94+E94+F94+G94+C94</f>
        <v>88</v>
      </c>
      <c r="I94" s="45"/>
      <c r="J94" s="49"/>
      <c r="K94" s="49" t="n">
        <v>5</v>
      </c>
      <c r="L94" s="49"/>
      <c r="M94" s="49" t="n">
        <v>21</v>
      </c>
      <c r="N94" s="49"/>
      <c r="O94" s="49"/>
      <c r="P94" s="49"/>
      <c r="Q94" s="49"/>
      <c r="R94" s="49"/>
      <c r="S94" s="49"/>
      <c r="T94" s="49"/>
      <c r="U94" s="49"/>
      <c r="V94" s="47" t="n">
        <f aca="false">J94+K94+L94+M94+N94+O94+P94+Q94+R94+S94+T94+U94</f>
        <v>26</v>
      </c>
      <c r="W94" s="47" t="n">
        <f aca="false">H94-V94</f>
        <v>62</v>
      </c>
      <c r="X94" s="48" t="n">
        <v>11</v>
      </c>
      <c r="Y94" s="48" t="n">
        <f aca="false">B94*$X94</f>
        <v>495</v>
      </c>
      <c r="Z94" s="48" t="n">
        <f aca="false">C94*$X94</f>
        <v>33</v>
      </c>
      <c r="AA94" s="48" t="n">
        <f aca="false">D94*$X94</f>
        <v>0</v>
      </c>
      <c r="AB94" s="48" t="n">
        <f aca="false">E94*$X94</f>
        <v>242</v>
      </c>
      <c r="AC94" s="48" t="n">
        <f aca="false">F94*$X94</f>
        <v>0</v>
      </c>
      <c r="AD94" s="48" t="n">
        <f aca="false">G94*$X94</f>
        <v>198</v>
      </c>
      <c r="AE94" s="48" t="n">
        <f aca="false">H94*$X94</f>
        <v>968</v>
      </c>
      <c r="AF94" s="48" t="n">
        <f aca="false">I94*$X94</f>
        <v>0</v>
      </c>
      <c r="AG94" s="48" t="n">
        <f aca="false">J94*$X94</f>
        <v>0</v>
      </c>
      <c r="AH94" s="48" t="n">
        <f aca="false">K94*$X94</f>
        <v>55</v>
      </c>
      <c r="AI94" s="48" t="n">
        <f aca="false">L94*$X94</f>
        <v>0</v>
      </c>
      <c r="AJ94" s="48" t="n">
        <f aca="false">M94*$X94</f>
        <v>231</v>
      </c>
      <c r="AK94" s="48" t="n">
        <f aca="false">N94*$X94</f>
        <v>0</v>
      </c>
      <c r="AL94" s="48" t="n">
        <f aca="false">O94*$X94</f>
        <v>0</v>
      </c>
      <c r="AM94" s="48" t="n">
        <f aca="false">P94*$X94</f>
        <v>0</v>
      </c>
      <c r="AN94" s="48" t="n">
        <f aca="false">Q94*$X94</f>
        <v>0</v>
      </c>
      <c r="AO94" s="48" t="n">
        <f aca="false">R94*$X94</f>
        <v>0</v>
      </c>
      <c r="AP94" s="48" t="n">
        <f aca="false">S94*$X94</f>
        <v>0</v>
      </c>
      <c r="AQ94" s="48" t="n">
        <f aca="false">T94*$X94</f>
        <v>0</v>
      </c>
      <c r="AR94" s="48" t="n">
        <f aca="false">U94*$X94</f>
        <v>0</v>
      </c>
      <c r="AS94" s="48" t="n">
        <f aca="false">V94*$X94</f>
        <v>286</v>
      </c>
      <c r="AT94" s="48" t="n">
        <f aca="false">W94*$X94</f>
        <v>682</v>
      </c>
      <c r="AU94" s="48" t="n">
        <f aca="false">X94*$X94</f>
        <v>121</v>
      </c>
      <c r="AV94" s="48" t="n">
        <f aca="false">Y94*$X94</f>
        <v>5445</v>
      </c>
      <c r="AW94" s="48" t="n">
        <f aca="false">Z94*$X94</f>
        <v>363</v>
      </c>
      <c r="AX94" s="48" t="n">
        <f aca="false">AA94*$X94</f>
        <v>0</v>
      </c>
      <c r="AY94" s="48" t="n">
        <f aca="false">AB94*$X94</f>
        <v>2662</v>
      </c>
      <c r="AZ94" s="48" t="n">
        <f aca="false">AC94*$X94</f>
        <v>0</v>
      </c>
      <c r="BA94" s="1"/>
      <c r="BB94" s="1"/>
      <c r="BC94" s="1"/>
      <c r="BD94" s="1"/>
      <c r="BE94" s="1"/>
      <c r="BF94" s="1"/>
    </row>
    <row r="95" s="48" customFormat="true" ht="15" hidden="false" customHeight="true" outlineLevel="0" collapsed="false">
      <c r="A95" s="42" t="s">
        <v>164</v>
      </c>
      <c r="B95" s="42" t="n">
        <v>72</v>
      </c>
      <c r="C95" s="43"/>
      <c r="D95" s="44"/>
      <c r="E95" s="44" t="n">
        <v>18</v>
      </c>
      <c r="F95" s="44"/>
      <c r="G95" s="44"/>
      <c r="H95" s="44" t="n">
        <f aca="false">B95+D95+E95+F95+G95+C95</f>
        <v>90</v>
      </c>
      <c r="I95" s="45"/>
      <c r="J95" s="49" t="n">
        <v>2</v>
      </c>
      <c r="K95" s="49" t="n">
        <v>9</v>
      </c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7" t="n">
        <f aca="false">J95+K95+L95+M95+N95+O95+P95+Q95+R95+S95+T95+U95</f>
        <v>11</v>
      </c>
      <c r="W95" s="47" t="n">
        <f aca="false">H95-V95</f>
        <v>79</v>
      </c>
      <c r="X95" s="48" t="n">
        <v>13.75</v>
      </c>
      <c r="Y95" s="48" t="n">
        <f aca="false">B95*$X95</f>
        <v>990</v>
      </c>
      <c r="Z95" s="48" t="n">
        <f aca="false">C95*$X95</f>
        <v>0</v>
      </c>
      <c r="AA95" s="48" t="n">
        <f aca="false">D95*$X95</f>
        <v>0</v>
      </c>
      <c r="AB95" s="48" t="n">
        <f aca="false">E95*$X95</f>
        <v>247.5</v>
      </c>
      <c r="AC95" s="48" t="n">
        <f aca="false">F95*$X95</f>
        <v>0</v>
      </c>
      <c r="AD95" s="48" t="n">
        <f aca="false">G95*$X95</f>
        <v>0</v>
      </c>
      <c r="AE95" s="48" t="n">
        <f aca="false">H95*$X95</f>
        <v>1237.5</v>
      </c>
      <c r="AF95" s="48" t="n">
        <f aca="false">I95*$X95</f>
        <v>0</v>
      </c>
      <c r="AG95" s="48" t="n">
        <f aca="false">J95*$X95</f>
        <v>27.5</v>
      </c>
      <c r="AH95" s="48" t="n">
        <f aca="false">K95*$X95</f>
        <v>123.75</v>
      </c>
      <c r="AI95" s="48" t="n">
        <f aca="false">L95*$X95</f>
        <v>0</v>
      </c>
      <c r="AJ95" s="48" t="n">
        <f aca="false">M95*$X95</f>
        <v>0</v>
      </c>
      <c r="AK95" s="48" t="n">
        <f aca="false">N95*$X95</f>
        <v>0</v>
      </c>
      <c r="AL95" s="48" t="n">
        <f aca="false">O95*$X95</f>
        <v>0</v>
      </c>
      <c r="AM95" s="48" t="n">
        <f aca="false">P95*$X95</f>
        <v>0</v>
      </c>
      <c r="AN95" s="48" t="n">
        <f aca="false">Q95*$X95</f>
        <v>0</v>
      </c>
      <c r="AO95" s="48" t="n">
        <f aca="false">R95*$X95</f>
        <v>0</v>
      </c>
      <c r="AP95" s="48" t="n">
        <f aca="false">S95*$X95</f>
        <v>0</v>
      </c>
      <c r="AQ95" s="48" t="n">
        <f aca="false">T95*$X95</f>
        <v>0</v>
      </c>
      <c r="AR95" s="48" t="n">
        <f aca="false">U95*$X95</f>
        <v>0</v>
      </c>
      <c r="AS95" s="48" t="n">
        <f aca="false">V95*$X95</f>
        <v>151.25</v>
      </c>
      <c r="AT95" s="48" t="n">
        <f aca="false">W95*$X95</f>
        <v>1086.25</v>
      </c>
      <c r="AU95" s="48" t="n">
        <f aca="false">X95*$X95</f>
        <v>189.0625</v>
      </c>
      <c r="AV95" s="48" t="n">
        <f aca="false">Y95*$X95</f>
        <v>13612.5</v>
      </c>
      <c r="AW95" s="48" t="n">
        <f aca="false">Z95*$X95</f>
        <v>0</v>
      </c>
      <c r="AX95" s="48" t="n">
        <f aca="false">AA95*$X95</f>
        <v>0</v>
      </c>
      <c r="AY95" s="48" t="n">
        <f aca="false">AB95*$X95</f>
        <v>3403.125</v>
      </c>
      <c r="AZ95" s="48" t="n">
        <f aca="false">AC95*$X95</f>
        <v>0</v>
      </c>
      <c r="BA95" s="1"/>
      <c r="BB95" s="1"/>
      <c r="BC95" s="1"/>
      <c r="BD95" s="1"/>
      <c r="BE95" s="1"/>
      <c r="BF95" s="1"/>
    </row>
    <row r="96" s="48" customFormat="true" ht="15" hidden="false" customHeight="true" outlineLevel="0" collapsed="false">
      <c r="A96" s="42" t="s">
        <v>165</v>
      </c>
      <c r="B96" s="42" t="n">
        <v>1</v>
      </c>
      <c r="C96" s="43"/>
      <c r="D96" s="44"/>
      <c r="E96" s="44" t="n">
        <v>7</v>
      </c>
      <c r="F96" s="44"/>
      <c r="G96" s="44"/>
      <c r="H96" s="44" t="n">
        <f aca="false">B96+D96+E96+F96+G96+C96</f>
        <v>8</v>
      </c>
      <c r="I96" s="45"/>
      <c r="J96" s="49" t="n">
        <v>0</v>
      </c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7" t="n">
        <f aca="false">J96+K96+L96+M96+N96+O96+P96+Q96+R96+S96+T96+U96</f>
        <v>0</v>
      </c>
      <c r="W96" s="47" t="n">
        <f aca="false">H96-V96</f>
        <v>8</v>
      </c>
      <c r="X96" s="48" t="n">
        <v>16.5</v>
      </c>
      <c r="Y96" s="48" t="n">
        <f aca="false">B96*$X96</f>
        <v>16.5</v>
      </c>
      <c r="Z96" s="48" t="n">
        <f aca="false">C96*$X96</f>
        <v>0</v>
      </c>
      <c r="AA96" s="48" t="n">
        <f aca="false">D96*$X96</f>
        <v>0</v>
      </c>
      <c r="AB96" s="48" t="n">
        <f aca="false">E96*$X96</f>
        <v>115.5</v>
      </c>
      <c r="AC96" s="48" t="n">
        <f aca="false">F96*$X96</f>
        <v>0</v>
      </c>
      <c r="AD96" s="48" t="n">
        <f aca="false">G96*$X96</f>
        <v>0</v>
      </c>
      <c r="AE96" s="48" t="n">
        <f aca="false">H96*$X96</f>
        <v>132</v>
      </c>
      <c r="AF96" s="48" t="n">
        <f aca="false">I96*$X96</f>
        <v>0</v>
      </c>
      <c r="AG96" s="48" t="n">
        <f aca="false">J96*$X96</f>
        <v>0</v>
      </c>
      <c r="AH96" s="48" t="n">
        <f aca="false">K96*$X96</f>
        <v>0</v>
      </c>
      <c r="AI96" s="48" t="n">
        <f aca="false">L96*$X96</f>
        <v>0</v>
      </c>
      <c r="AJ96" s="48" t="n">
        <f aca="false">M96*$X96</f>
        <v>0</v>
      </c>
      <c r="AK96" s="48" t="n">
        <f aca="false">N96*$X96</f>
        <v>0</v>
      </c>
      <c r="AL96" s="48" t="n">
        <f aca="false">O96*$X96</f>
        <v>0</v>
      </c>
      <c r="AM96" s="48" t="n">
        <f aca="false">P96*$X96</f>
        <v>0</v>
      </c>
      <c r="AN96" s="48" t="n">
        <f aca="false">Q96*$X96</f>
        <v>0</v>
      </c>
      <c r="AO96" s="48" t="n">
        <f aca="false">R96*$X96</f>
        <v>0</v>
      </c>
      <c r="AP96" s="48" t="n">
        <f aca="false">S96*$X96</f>
        <v>0</v>
      </c>
      <c r="AQ96" s="48" t="n">
        <f aca="false">T96*$X96</f>
        <v>0</v>
      </c>
      <c r="AR96" s="48" t="n">
        <f aca="false">U96*$X96</f>
        <v>0</v>
      </c>
      <c r="AS96" s="48" t="n">
        <f aca="false">V96*$X96</f>
        <v>0</v>
      </c>
      <c r="AT96" s="48" t="n">
        <f aca="false">W96*$X96</f>
        <v>132</v>
      </c>
      <c r="AU96" s="48" t="n">
        <f aca="false">X96*$X96</f>
        <v>272.25</v>
      </c>
      <c r="AV96" s="48" t="n">
        <f aca="false">Y96*$X96</f>
        <v>272.25</v>
      </c>
      <c r="AW96" s="48" t="n">
        <f aca="false">Z96*$X96</f>
        <v>0</v>
      </c>
      <c r="AX96" s="48" t="n">
        <f aca="false">AA96*$X96</f>
        <v>0</v>
      </c>
      <c r="AY96" s="48" t="n">
        <f aca="false">AB96*$X96</f>
        <v>1905.75</v>
      </c>
      <c r="AZ96" s="48" t="n">
        <f aca="false">AC96*$X96</f>
        <v>0</v>
      </c>
      <c r="BA96" s="1"/>
      <c r="BB96" s="1"/>
      <c r="BC96" s="1"/>
      <c r="BD96" s="1"/>
      <c r="BE96" s="1"/>
      <c r="BF96" s="1"/>
    </row>
    <row r="97" s="48" customFormat="true" ht="15" hidden="false" customHeight="true" outlineLevel="0" collapsed="false">
      <c r="A97" s="42" t="s">
        <v>166</v>
      </c>
      <c r="B97" s="42" t="n">
        <v>33</v>
      </c>
      <c r="C97" s="43"/>
      <c r="D97" s="44" t="n">
        <v>17</v>
      </c>
      <c r="E97" s="44"/>
      <c r="F97" s="44"/>
      <c r="G97" s="44"/>
      <c r="H97" s="44" t="n">
        <f aca="false">B97+D97+E97+F97+G97+C97</f>
        <v>50</v>
      </c>
      <c r="I97" s="45"/>
      <c r="J97" s="49"/>
      <c r="K97" s="49" t="n">
        <v>1</v>
      </c>
      <c r="L97" s="49"/>
      <c r="M97" s="49"/>
      <c r="N97" s="49" t="n">
        <v>29</v>
      </c>
      <c r="O97" s="49"/>
      <c r="P97" s="49"/>
      <c r="Q97" s="49"/>
      <c r="R97" s="49"/>
      <c r="S97" s="49" t="n">
        <v>20</v>
      </c>
      <c r="T97" s="49"/>
      <c r="U97" s="49"/>
      <c r="V97" s="47" t="n">
        <f aca="false">J97+K97+L97+M97+N97+O97+P97+Q97+R97+S97+T97+U97</f>
        <v>50</v>
      </c>
      <c r="W97" s="47" t="n">
        <f aca="false">H97-V97</f>
        <v>0</v>
      </c>
      <c r="X97" s="48" t="n">
        <v>29.25</v>
      </c>
      <c r="Y97" s="48" t="n">
        <f aca="false">B97*$X97</f>
        <v>965.25</v>
      </c>
      <c r="Z97" s="48" t="n">
        <f aca="false">C97*$X97</f>
        <v>0</v>
      </c>
      <c r="AA97" s="48" t="n">
        <f aca="false">D97*$X97</f>
        <v>497.25</v>
      </c>
      <c r="AB97" s="48" t="n">
        <f aca="false">E97*$X97</f>
        <v>0</v>
      </c>
      <c r="AC97" s="48" t="n">
        <f aca="false">F97*$X97</f>
        <v>0</v>
      </c>
      <c r="AD97" s="48" t="n">
        <f aca="false">G97*$X97</f>
        <v>0</v>
      </c>
      <c r="AE97" s="48" t="n">
        <f aca="false">H97*$X97</f>
        <v>1462.5</v>
      </c>
      <c r="AF97" s="48" t="n">
        <f aca="false">I97*$X97</f>
        <v>0</v>
      </c>
      <c r="AG97" s="48" t="n">
        <f aca="false">J97*$X97</f>
        <v>0</v>
      </c>
      <c r="AH97" s="48" t="n">
        <f aca="false">K97*$X97</f>
        <v>29.25</v>
      </c>
      <c r="AI97" s="48" t="n">
        <f aca="false">L97*$X97</f>
        <v>0</v>
      </c>
      <c r="AJ97" s="48" t="n">
        <f aca="false">M97*$X97</f>
        <v>0</v>
      </c>
      <c r="AK97" s="48" t="n">
        <f aca="false">N97*$X97</f>
        <v>848.25</v>
      </c>
      <c r="AL97" s="48" t="n">
        <f aca="false">O97*$X97</f>
        <v>0</v>
      </c>
      <c r="AM97" s="48" t="n">
        <f aca="false">P97*$X97</f>
        <v>0</v>
      </c>
      <c r="AN97" s="48" t="n">
        <f aca="false">Q97*$X97</f>
        <v>0</v>
      </c>
      <c r="AO97" s="48" t="n">
        <f aca="false">R97*$X97</f>
        <v>0</v>
      </c>
      <c r="AP97" s="48" t="n">
        <f aca="false">S97*$X97</f>
        <v>585</v>
      </c>
      <c r="AQ97" s="48" t="n">
        <f aca="false">T97*$X97</f>
        <v>0</v>
      </c>
      <c r="AR97" s="48" t="n">
        <f aca="false">U97*$X97</f>
        <v>0</v>
      </c>
      <c r="AS97" s="48" t="n">
        <f aca="false">V97*$X97</f>
        <v>1462.5</v>
      </c>
      <c r="AT97" s="48" t="n">
        <f aca="false">W97*$X97</f>
        <v>0</v>
      </c>
      <c r="AU97" s="48" t="n">
        <f aca="false">X97*$X97</f>
        <v>855.5625</v>
      </c>
      <c r="AV97" s="48" t="n">
        <f aca="false">Y97*$X97</f>
        <v>28233.5625</v>
      </c>
      <c r="AW97" s="48" t="n">
        <f aca="false">Z97*$X97</f>
        <v>0</v>
      </c>
      <c r="AX97" s="48" t="n">
        <f aca="false">AA97*$X97</f>
        <v>14544.5625</v>
      </c>
      <c r="AY97" s="48" t="n">
        <f aca="false">AB97*$X97</f>
        <v>0</v>
      </c>
      <c r="AZ97" s="48" t="n">
        <f aca="false">AC97*$X97</f>
        <v>0</v>
      </c>
      <c r="BA97" s="1"/>
      <c r="BB97" s="1"/>
      <c r="BC97" s="1"/>
      <c r="BD97" s="1"/>
      <c r="BE97" s="1"/>
      <c r="BF97" s="1"/>
    </row>
    <row r="98" s="48" customFormat="true" ht="15" hidden="false" customHeight="true" outlineLevel="0" collapsed="false">
      <c r="A98" s="42" t="s">
        <v>167</v>
      </c>
      <c r="B98" s="42" t="n">
        <v>32</v>
      </c>
      <c r="C98" s="43"/>
      <c r="D98" s="44" t="n">
        <v>5</v>
      </c>
      <c r="E98" s="44"/>
      <c r="F98" s="44"/>
      <c r="G98" s="44" t="n">
        <v>12</v>
      </c>
      <c r="H98" s="44" t="n">
        <f aca="false">B98+D98+E98+F98+G98+C98</f>
        <v>49</v>
      </c>
      <c r="I98" s="45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7" t="n">
        <f aca="false">J98+K98+L98+M98+N98+O98+P98+Q98+R98+S98+T98+U98</f>
        <v>0</v>
      </c>
      <c r="W98" s="47" t="n">
        <f aca="false">H98-V98</f>
        <v>49</v>
      </c>
      <c r="X98" s="48" t="n">
        <v>9.75</v>
      </c>
      <c r="Y98" s="48" t="n">
        <f aca="false">B98*$X98</f>
        <v>312</v>
      </c>
      <c r="Z98" s="48" t="n">
        <f aca="false">C98*$X98</f>
        <v>0</v>
      </c>
      <c r="AA98" s="48" t="n">
        <f aca="false">D98*$X98</f>
        <v>48.75</v>
      </c>
      <c r="AB98" s="48" t="n">
        <f aca="false">E98*$X98</f>
        <v>0</v>
      </c>
      <c r="AC98" s="48" t="n">
        <f aca="false">F98*$X98</f>
        <v>0</v>
      </c>
      <c r="AD98" s="48" t="n">
        <f aca="false">G98*$X98</f>
        <v>117</v>
      </c>
      <c r="AE98" s="48" t="n">
        <f aca="false">H98*$X98</f>
        <v>477.75</v>
      </c>
      <c r="AF98" s="48" t="n">
        <f aca="false">I98*$X98</f>
        <v>0</v>
      </c>
      <c r="AG98" s="48" t="n">
        <f aca="false">J98*$X98</f>
        <v>0</v>
      </c>
      <c r="AH98" s="48" t="n">
        <f aca="false">K98*$X98</f>
        <v>0</v>
      </c>
      <c r="AI98" s="48" t="n">
        <f aca="false">L98*$X98</f>
        <v>0</v>
      </c>
      <c r="AJ98" s="48" t="n">
        <f aca="false">M98*$X98</f>
        <v>0</v>
      </c>
      <c r="AK98" s="48" t="n">
        <f aca="false">N98*$X98</f>
        <v>0</v>
      </c>
      <c r="AL98" s="48" t="n">
        <f aca="false">O98*$X98</f>
        <v>0</v>
      </c>
      <c r="AM98" s="48" t="n">
        <f aca="false">P98*$X98</f>
        <v>0</v>
      </c>
      <c r="AN98" s="48" t="n">
        <f aca="false">Q98*$X98</f>
        <v>0</v>
      </c>
      <c r="AO98" s="48" t="n">
        <f aca="false">R98*$X98</f>
        <v>0</v>
      </c>
      <c r="AP98" s="48" t="n">
        <f aca="false">S98*$X98</f>
        <v>0</v>
      </c>
      <c r="AQ98" s="48" t="n">
        <f aca="false">T98*$X98</f>
        <v>0</v>
      </c>
      <c r="AR98" s="48" t="n">
        <f aca="false">U98*$X98</f>
        <v>0</v>
      </c>
      <c r="AS98" s="48" t="n">
        <f aca="false">V98*$X98</f>
        <v>0</v>
      </c>
      <c r="AT98" s="48" t="n">
        <f aca="false">W98*$X98</f>
        <v>477.75</v>
      </c>
      <c r="AU98" s="48" t="n">
        <f aca="false">X98*$X98</f>
        <v>95.0625</v>
      </c>
      <c r="AV98" s="48" t="n">
        <f aca="false">Y98*$X98</f>
        <v>3042</v>
      </c>
      <c r="AW98" s="48" t="n">
        <f aca="false">Z98*$X98</f>
        <v>0</v>
      </c>
      <c r="AX98" s="48" t="n">
        <f aca="false">AA98*$X98</f>
        <v>475.3125</v>
      </c>
      <c r="AY98" s="48" t="n">
        <f aca="false">AB98*$X98</f>
        <v>0</v>
      </c>
      <c r="AZ98" s="48" t="n">
        <f aca="false">AC98*$X98</f>
        <v>0</v>
      </c>
      <c r="BA98" s="1"/>
      <c r="BB98" s="1"/>
      <c r="BC98" s="1"/>
      <c r="BD98" s="1"/>
      <c r="BE98" s="1"/>
      <c r="BF98" s="1"/>
    </row>
    <row r="99" s="48" customFormat="true" ht="15" hidden="false" customHeight="true" outlineLevel="0" collapsed="false">
      <c r="A99" s="42" t="s">
        <v>168</v>
      </c>
      <c r="B99" s="42" t="n">
        <v>4</v>
      </c>
      <c r="C99" s="43"/>
      <c r="D99" s="44" t="n">
        <v>1</v>
      </c>
      <c r="E99" s="44" t="n">
        <v>10</v>
      </c>
      <c r="F99" s="44"/>
      <c r="G99" s="44" t="n">
        <v>1</v>
      </c>
      <c r="H99" s="44" t="n">
        <f aca="false">B99+D99+E99+F99+G99+C99</f>
        <v>16</v>
      </c>
      <c r="I99" s="45"/>
      <c r="J99" s="49"/>
      <c r="K99" s="49"/>
      <c r="L99" s="49"/>
      <c r="M99" s="49"/>
      <c r="N99" s="49" t="n">
        <v>16</v>
      </c>
      <c r="O99" s="49"/>
      <c r="P99" s="49"/>
      <c r="Q99" s="49"/>
      <c r="R99" s="49" t="n">
        <v>2</v>
      </c>
      <c r="S99" s="49"/>
      <c r="T99" s="49"/>
      <c r="U99" s="49" t="n">
        <v>0</v>
      </c>
      <c r="V99" s="47" t="n">
        <f aca="false">J99+K99+L99+M99+N99+O99+P99+Q99+R99+S99+T99+U99</f>
        <v>18</v>
      </c>
      <c r="W99" s="47" t="n">
        <f aca="false">H99-V99</f>
        <v>-2</v>
      </c>
      <c r="X99" s="48" t="n">
        <v>7.5</v>
      </c>
      <c r="Y99" s="48" t="n">
        <f aca="false">B99*$X99</f>
        <v>30</v>
      </c>
      <c r="Z99" s="48" t="n">
        <f aca="false">C99*$X99</f>
        <v>0</v>
      </c>
      <c r="AA99" s="48" t="n">
        <f aca="false">D99*$X99</f>
        <v>7.5</v>
      </c>
      <c r="AB99" s="48" t="n">
        <f aca="false">E99*$X99</f>
        <v>75</v>
      </c>
      <c r="AC99" s="48" t="n">
        <f aca="false">F99*$X99</f>
        <v>0</v>
      </c>
      <c r="AD99" s="48" t="n">
        <f aca="false">G99*$X99</f>
        <v>7.5</v>
      </c>
      <c r="AE99" s="48" t="n">
        <f aca="false">H99*$X99</f>
        <v>120</v>
      </c>
      <c r="AF99" s="48" t="n">
        <f aca="false">I99*$X99</f>
        <v>0</v>
      </c>
      <c r="AG99" s="48" t="n">
        <f aca="false">J99*$X99</f>
        <v>0</v>
      </c>
      <c r="AH99" s="48" t="n">
        <f aca="false">K99*$X99</f>
        <v>0</v>
      </c>
      <c r="AI99" s="48" t="n">
        <f aca="false">L99*$X99</f>
        <v>0</v>
      </c>
      <c r="AJ99" s="48" t="n">
        <f aca="false">M99*$X99</f>
        <v>0</v>
      </c>
      <c r="AK99" s="48" t="n">
        <f aca="false">N99*$X99</f>
        <v>120</v>
      </c>
      <c r="AL99" s="48" t="n">
        <f aca="false">O99*$X99</f>
        <v>0</v>
      </c>
      <c r="AM99" s="48" t="n">
        <f aca="false">P99*$X99</f>
        <v>0</v>
      </c>
      <c r="AN99" s="48" t="n">
        <f aca="false">Q99*$X99</f>
        <v>0</v>
      </c>
      <c r="AO99" s="48" t="n">
        <f aca="false">R99*$X99</f>
        <v>15</v>
      </c>
      <c r="AP99" s="48" t="n">
        <f aca="false">S99*$X99</f>
        <v>0</v>
      </c>
      <c r="AQ99" s="48" t="n">
        <f aca="false">T99*$X99</f>
        <v>0</v>
      </c>
      <c r="AR99" s="48" t="n">
        <f aca="false">U99*$X99</f>
        <v>0</v>
      </c>
      <c r="AS99" s="48" t="n">
        <f aca="false">V99*$X99</f>
        <v>135</v>
      </c>
      <c r="AT99" s="48" t="n">
        <f aca="false">W99*$X99</f>
        <v>-15</v>
      </c>
      <c r="AU99" s="48" t="n">
        <f aca="false">X99*$X99</f>
        <v>56.25</v>
      </c>
      <c r="AV99" s="48" t="n">
        <f aca="false">Y99*$X99</f>
        <v>225</v>
      </c>
      <c r="AW99" s="48" t="n">
        <f aca="false">Z99*$X99</f>
        <v>0</v>
      </c>
      <c r="AX99" s="48" t="n">
        <f aca="false">AA99*$X99</f>
        <v>56.25</v>
      </c>
      <c r="AY99" s="48" t="n">
        <f aca="false">AB99*$X99</f>
        <v>562.5</v>
      </c>
      <c r="AZ99" s="48" t="n">
        <f aca="false">AC99*$X99</f>
        <v>0</v>
      </c>
      <c r="BA99" s="1"/>
      <c r="BB99" s="1"/>
      <c r="BC99" s="1"/>
      <c r="BD99" s="1"/>
      <c r="BE99" s="1"/>
      <c r="BF99" s="1"/>
    </row>
    <row r="100" s="48" customFormat="true" ht="15" hidden="false" customHeight="true" outlineLevel="0" collapsed="false">
      <c r="A100" s="42" t="s">
        <v>169</v>
      </c>
      <c r="B100" s="42" t="n">
        <v>19</v>
      </c>
      <c r="C100" s="43"/>
      <c r="D100" s="44" t="n">
        <v>1</v>
      </c>
      <c r="E100" s="44" t="n">
        <v>5</v>
      </c>
      <c r="F100" s="44"/>
      <c r="G100" s="44"/>
      <c r="H100" s="44" t="n">
        <f aca="false">B100+D100+E100+F100+G100+C100</f>
        <v>25</v>
      </c>
      <c r="I100" s="45"/>
      <c r="J100" s="49"/>
      <c r="K100" s="49"/>
      <c r="L100" s="49"/>
      <c r="M100" s="49"/>
      <c r="N100" s="49" t="n">
        <v>2</v>
      </c>
      <c r="O100" s="49"/>
      <c r="P100" s="49"/>
      <c r="Q100" s="49"/>
      <c r="R100" s="49" t="n">
        <v>5</v>
      </c>
      <c r="S100" s="49"/>
      <c r="T100" s="49"/>
      <c r="U100" s="49"/>
      <c r="V100" s="47" t="n">
        <f aca="false">J100+K100+L100+M100+N100+O100+P100+Q100+R100+S100+T100+U100</f>
        <v>7</v>
      </c>
      <c r="W100" s="47" t="n">
        <f aca="false">H100-V100</f>
        <v>18</v>
      </c>
      <c r="X100" s="48" t="n">
        <v>10</v>
      </c>
      <c r="Y100" s="48" t="n">
        <f aca="false">B100*$X100</f>
        <v>190</v>
      </c>
      <c r="Z100" s="48" t="n">
        <f aca="false">C100*$X100</f>
        <v>0</v>
      </c>
      <c r="AA100" s="48" t="n">
        <f aca="false">D100*$X100</f>
        <v>10</v>
      </c>
      <c r="AB100" s="48" t="n">
        <f aca="false">E100*$X100</f>
        <v>50</v>
      </c>
      <c r="AC100" s="48" t="n">
        <f aca="false">F100*$X100</f>
        <v>0</v>
      </c>
      <c r="AD100" s="48" t="n">
        <f aca="false">G100*$X100</f>
        <v>0</v>
      </c>
      <c r="AE100" s="48" t="n">
        <f aca="false">H100*$X100</f>
        <v>250</v>
      </c>
      <c r="AF100" s="48" t="n">
        <f aca="false">I100*$X100</f>
        <v>0</v>
      </c>
      <c r="AG100" s="48" t="n">
        <f aca="false">J100*$X100</f>
        <v>0</v>
      </c>
      <c r="AH100" s="48" t="n">
        <f aca="false">K100*$X100</f>
        <v>0</v>
      </c>
      <c r="AI100" s="48" t="n">
        <f aca="false">L100*$X100</f>
        <v>0</v>
      </c>
      <c r="AJ100" s="48" t="n">
        <f aca="false">M100*$X100</f>
        <v>0</v>
      </c>
      <c r="AK100" s="48" t="n">
        <f aca="false">N100*$X100</f>
        <v>20</v>
      </c>
      <c r="AL100" s="48" t="n">
        <f aca="false">O100*$X100</f>
        <v>0</v>
      </c>
      <c r="AM100" s="48" t="n">
        <f aca="false">P100*$X100</f>
        <v>0</v>
      </c>
      <c r="AN100" s="48" t="n">
        <f aca="false">Q100*$X100</f>
        <v>0</v>
      </c>
      <c r="AO100" s="48" t="n">
        <f aca="false">R100*$X100</f>
        <v>50</v>
      </c>
      <c r="AP100" s="48" t="n">
        <f aca="false">S100*$X100</f>
        <v>0</v>
      </c>
      <c r="AQ100" s="48" t="n">
        <f aca="false">T100*$X100</f>
        <v>0</v>
      </c>
      <c r="AR100" s="48" t="n">
        <f aca="false">U100*$X100</f>
        <v>0</v>
      </c>
      <c r="AS100" s="48" t="n">
        <f aca="false">V100*$X100</f>
        <v>70</v>
      </c>
      <c r="AT100" s="48" t="n">
        <f aca="false">W100*$X100</f>
        <v>180</v>
      </c>
      <c r="AU100" s="48" t="n">
        <f aca="false">X100*$X100</f>
        <v>100</v>
      </c>
      <c r="AV100" s="48" t="n">
        <f aca="false">Y100*$X100</f>
        <v>1900</v>
      </c>
      <c r="AW100" s="48" t="n">
        <f aca="false">Z100*$X100</f>
        <v>0</v>
      </c>
      <c r="AX100" s="48" t="n">
        <f aca="false">AA100*$X100</f>
        <v>100</v>
      </c>
      <c r="AY100" s="48" t="n">
        <f aca="false">AB100*$X100</f>
        <v>500</v>
      </c>
      <c r="AZ100" s="48" t="n">
        <f aca="false">AC100*$X100</f>
        <v>0</v>
      </c>
      <c r="BA100" s="1"/>
      <c r="BB100" s="1"/>
      <c r="BC100" s="1"/>
      <c r="BD100" s="1"/>
      <c r="BE100" s="1"/>
      <c r="BF100" s="1"/>
    </row>
    <row r="101" s="48" customFormat="true" ht="15" hidden="false" customHeight="true" outlineLevel="0" collapsed="false">
      <c r="A101" s="42" t="s">
        <v>170</v>
      </c>
      <c r="B101" s="42" t="n">
        <v>0</v>
      </c>
      <c r="C101" s="43"/>
      <c r="D101" s="44"/>
      <c r="E101" s="44"/>
      <c r="F101" s="44"/>
      <c r="G101" s="44" t="n">
        <v>1</v>
      </c>
      <c r="H101" s="44" t="n">
        <f aca="false">B101+D101+E101+F101+G101+C101</f>
        <v>1</v>
      </c>
      <c r="I101" s="45"/>
      <c r="J101" s="49"/>
      <c r="K101" s="49"/>
      <c r="L101" s="49"/>
      <c r="M101" s="49"/>
      <c r="N101" s="49" t="n">
        <v>2</v>
      </c>
      <c r="O101" s="49" t="n">
        <v>4</v>
      </c>
      <c r="P101" s="49"/>
      <c r="Q101" s="49"/>
      <c r="R101" s="49"/>
      <c r="S101" s="49"/>
      <c r="T101" s="49"/>
      <c r="U101" s="49" t="n">
        <v>0</v>
      </c>
      <c r="V101" s="47" t="n">
        <f aca="false">J101+K101+L101+M101+N101+O101+P101+Q101+R101+S101+T101+U101</f>
        <v>6</v>
      </c>
      <c r="W101" s="47" t="n">
        <f aca="false">H101-V101</f>
        <v>-5</v>
      </c>
      <c r="X101" s="48" t="n">
        <v>12.25</v>
      </c>
      <c r="Y101" s="48" t="n">
        <f aca="false">B101*$X101</f>
        <v>0</v>
      </c>
      <c r="Z101" s="48" t="n">
        <f aca="false">C101*$X101</f>
        <v>0</v>
      </c>
      <c r="AA101" s="48" t="n">
        <f aca="false">D101*$X101</f>
        <v>0</v>
      </c>
      <c r="AB101" s="48" t="n">
        <f aca="false">E101*$X101</f>
        <v>0</v>
      </c>
      <c r="AC101" s="48" t="n">
        <f aca="false">F101*$X101</f>
        <v>0</v>
      </c>
      <c r="AD101" s="48" t="n">
        <f aca="false">G101*$X101</f>
        <v>12.25</v>
      </c>
      <c r="AE101" s="48" t="n">
        <f aca="false">H101*$X101</f>
        <v>12.25</v>
      </c>
      <c r="AF101" s="48" t="n">
        <f aca="false">I101*$X101</f>
        <v>0</v>
      </c>
      <c r="AG101" s="48" t="n">
        <f aca="false">J101*$X101</f>
        <v>0</v>
      </c>
      <c r="AH101" s="48" t="n">
        <f aca="false">K101*$X101</f>
        <v>0</v>
      </c>
      <c r="AI101" s="48" t="n">
        <f aca="false">L101*$X101</f>
        <v>0</v>
      </c>
      <c r="AJ101" s="48" t="n">
        <f aca="false">M101*$X101</f>
        <v>0</v>
      </c>
      <c r="AK101" s="48" t="n">
        <f aca="false">N101*$X101</f>
        <v>24.5</v>
      </c>
      <c r="AL101" s="48" t="n">
        <f aca="false">O101*$X101</f>
        <v>49</v>
      </c>
      <c r="AM101" s="48" t="n">
        <f aca="false">P101*$X101</f>
        <v>0</v>
      </c>
      <c r="AN101" s="48" t="n">
        <f aca="false">Q101*$X101</f>
        <v>0</v>
      </c>
      <c r="AO101" s="48" t="n">
        <f aca="false">R101*$X101</f>
        <v>0</v>
      </c>
      <c r="AP101" s="48" t="n">
        <f aca="false">S101*$X101</f>
        <v>0</v>
      </c>
      <c r="AQ101" s="48" t="n">
        <f aca="false">T101*$X101</f>
        <v>0</v>
      </c>
      <c r="AR101" s="48" t="n">
        <f aca="false">U101*$X101</f>
        <v>0</v>
      </c>
      <c r="AS101" s="48" t="n">
        <f aca="false">V101*$X101</f>
        <v>73.5</v>
      </c>
      <c r="AT101" s="48" t="n">
        <f aca="false">W101*$X101</f>
        <v>-61.25</v>
      </c>
      <c r="AU101" s="48" t="n">
        <f aca="false">X101*$X101</f>
        <v>150.0625</v>
      </c>
      <c r="AV101" s="48" t="n">
        <f aca="false">Y101*$X101</f>
        <v>0</v>
      </c>
      <c r="AW101" s="48" t="n">
        <f aca="false">Z101*$X101</f>
        <v>0</v>
      </c>
      <c r="AX101" s="48" t="n">
        <f aca="false">AA101*$X101</f>
        <v>0</v>
      </c>
      <c r="AY101" s="48" t="n">
        <f aca="false">AB101*$X101</f>
        <v>0</v>
      </c>
      <c r="AZ101" s="48" t="n">
        <f aca="false">AC101*$X101</f>
        <v>0</v>
      </c>
      <c r="BA101" s="1"/>
      <c r="BB101" s="1"/>
      <c r="BC101" s="1"/>
      <c r="BD101" s="1"/>
      <c r="BE101" s="1"/>
      <c r="BF101" s="1"/>
    </row>
    <row r="102" s="48" customFormat="true" ht="15" hidden="false" customHeight="true" outlineLevel="0" collapsed="false">
      <c r="A102" s="42" t="s">
        <v>171</v>
      </c>
      <c r="B102" s="42" t="n">
        <v>0</v>
      </c>
      <c r="C102" s="43"/>
      <c r="D102" s="44"/>
      <c r="E102" s="44" t="n">
        <v>1</v>
      </c>
      <c r="F102" s="44"/>
      <c r="G102" s="44"/>
      <c r="H102" s="44" t="n">
        <f aca="false">B102+D102+E102+F102+G102+C102</f>
        <v>1</v>
      </c>
      <c r="I102" s="45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7" t="n">
        <f aca="false">J102+K102+L102+M102+N102+O102+P102+Q102+R102+S102+T102+U102</f>
        <v>0</v>
      </c>
      <c r="W102" s="47" t="n">
        <f aca="false">H102-V102</f>
        <v>1</v>
      </c>
      <c r="X102" s="48" t="n">
        <v>12.25</v>
      </c>
      <c r="Y102" s="48" t="n">
        <f aca="false">B102*$X102</f>
        <v>0</v>
      </c>
      <c r="Z102" s="48" t="n">
        <f aca="false">C102*$X102</f>
        <v>0</v>
      </c>
      <c r="AA102" s="48" t="n">
        <f aca="false">D102*$X102</f>
        <v>0</v>
      </c>
      <c r="AB102" s="48" t="n">
        <f aca="false">E102*$X102</f>
        <v>12.25</v>
      </c>
      <c r="AC102" s="48" t="n">
        <f aca="false">F102*$X102</f>
        <v>0</v>
      </c>
      <c r="AD102" s="48" t="n">
        <f aca="false">G102*$X102</f>
        <v>0</v>
      </c>
      <c r="AE102" s="48" t="n">
        <f aca="false">H102*$X102</f>
        <v>12.25</v>
      </c>
      <c r="AF102" s="48" t="n">
        <f aca="false">I102*$X102</f>
        <v>0</v>
      </c>
      <c r="AG102" s="48" t="n">
        <f aca="false">J102*$X102</f>
        <v>0</v>
      </c>
      <c r="AH102" s="48" t="n">
        <f aca="false">K102*$X102</f>
        <v>0</v>
      </c>
      <c r="AI102" s="48" t="n">
        <f aca="false">L102*$X102</f>
        <v>0</v>
      </c>
      <c r="AJ102" s="48" t="n">
        <f aca="false">M102*$X102</f>
        <v>0</v>
      </c>
      <c r="AK102" s="48" t="n">
        <f aca="false">N102*$X102</f>
        <v>0</v>
      </c>
      <c r="AL102" s="48" t="n">
        <f aca="false">O102*$X102</f>
        <v>0</v>
      </c>
      <c r="AM102" s="48" t="n">
        <f aca="false">P102*$X102</f>
        <v>0</v>
      </c>
      <c r="AN102" s="48" t="n">
        <f aca="false">Q102*$X102</f>
        <v>0</v>
      </c>
      <c r="AO102" s="48" t="n">
        <f aca="false">R102*$X102</f>
        <v>0</v>
      </c>
      <c r="AP102" s="48" t="n">
        <f aca="false">S102*$X102</f>
        <v>0</v>
      </c>
      <c r="AQ102" s="48" t="n">
        <f aca="false">T102*$X102</f>
        <v>0</v>
      </c>
      <c r="AR102" s="48" t="n">
        <f aca="false">U102*$X102</f>
        <v>0</v>
      </c>
      <c r="AS102" s="48" t="n">
        <f aca="false">V102*$X102</f>
        <v>0</v>
      </c>
      <c r="AT102" s="48" t="n">
        <f aca="false">W102*$X102</f>
        <v>12.25</v>
      </c>
      <c r="AU102" s="48" t="n">
        <f aca="false">X102*$X102</f>
        <v>150.0625</v>
      </c>
      <c r="AV102" s="48" t="n">
        <f aca="false">Y102*$X102</f>
        <v>0</v>
      </c>
      <c r="AW102" s="48" t="n">
        <f aca="false">Z102*$X102</f>
        <v>0</v>
      </c>
      <c r="AX102" s="48" t="n">
        <f aca="false">AA102*$X102</f>
        <v>0</v>
      </c>
      <c r="AY102" s="48" t="n">
        <f aca="false">AB102*$X102</f>
        <v>150.0625</v>
      </c>
      <c r="AZ102" s="48" t="n">
        <f aca="false">AC102*$X102</f>
        <v>0</v>
      </c>
      <c r="BA102" s="1"/>
      <c r="BB102" s="1"/>
      <c r="BC102" s="1"/>
      <c r="BD102" s="1"/>
      <c r="BE102" s="1"/>
      <c r="BF102" s="1"/>
    </row>
    <row r="103" s="48" customFormat="true" ht="15" hidden="false" customHeight="true" outlineLevel="0" collapsed="false">
      <c r="A103" s="42" t="s">
        <v>172</v>
      </c>
      <c r="B103" s="42" t="n">
        <v>1</v>
      </c>
      <c r="C103" s="43"/>
      <c r="D103" s="44"/>
      <c r="E103" s="44" t="n">
        <v>5</v>
      </c>
      <c r="F103" s="44"/>
      <c r="G103" s="44"/>
      <c r="H103" s="44" t="n">
        <f aca="false">B103+D103+E103+F103+G103+C103</f>
        <v>6</v>
      </c>
      <c r="I103" s="45"/>
      <c r="J103" s="49"/>
      <c r="K103" s="49"/>
      <c r="L103" s="49"/>
      <c r="M103" s="49"/>
      <c r="N103" s="49"/>
      <c r="O103" s="49"/>
      <c r="P103" s="49"/>
      <c r="Q103" s="49"/>
      <c r="R103" s="49" t="n">
        <v>4</v>
      </c>
      <c r="S103" s="49" t="n">
        <v>13</v>
      </c>
      <c r="T103" s="49"/>
      <c r="U103" s="49" t="n">
        <v>0</v>
      </c>
      <c r="V103" s="47" t="n">
        <f aca="false">J103+K103+L103+M103+N103+O103+P103+Q103+R103+S103+T103+U103</f>
        <v>17</v>
      </c>
      <c r="W103" s="47" t="n">
        <f aca="false">H103-V103</f>
        <v>-11</v>
      </c>
      <c r="X103" s="48" t="n">
        <v>13.5</v>
      </c>
      <c r="Y103" s="48" t="n">
        <f aca="false">B103*$X103</f>
        <v>13.5</v>
      </c>
      <c r="Z103" s="48" t="n">
        <f aca="false">C103*$X103</f>
        <v>0</v>
      </c>
      <c r="AA103" s="48" t="n">
        <f aca="false">D103*$X103</f>
        <v>0</v>
      </c>
      <c r="AB103" s="48" t="n">
        <f aca="false">E103*$X103</f>
        <v>67.5</v>
      </c>
      <c r="AC103" s="48" t="n">
        <f aca="false">F103*$X103</f>
        <v>0</v>
      </c>
      <c r="AD103" s="48" t="n">
        <f aca="false">G103*$X103</f>
        <v>0</v>
      </c>
      <c r="AE103" s="48" t="n">
        <f aca="false">H103*$X103</f>
        <v>81</v>
      </c>
      <c r="AF103" s="48" t="n">
        <f aca="false">I103*$X103</f>
        <v>0</v>
      </c>
      <c r="AG103" s="48" t="n">
        <f aca="false">J103*$X103</f>
        <v>0</v>
      </c>
      <c r="AH103" s="48" t="n">
        <f aca="false">K103*$X103</f>
        <v>0</v>
      </c>
      <c r="AI103" s="48" t="n">
        <f aca="false">L103*$X103</f>
        <v>0</v>
      </c>
      <c r="AJ103" s="48" t="n">
        <f aca="false">M103*$X103</f>
        <v>0</v>
      </c>
      <c r="AK103" s="48" t="n">
        <f aca="false">N103*$X103</f>
        <v>0</v>
      </c>
      <c r="AL103" s="48" t="n">
        <f aca="false">O103*$X103</f>
        <v>0</v>
      </c>
      <c r="AM103" s="48" t="n">
        <f aca="false">P103*$X103</f>
        <v>0</v>
      </c>
      <c r="AN103" s="48" t="n">
        <f aca="false">Q103*$X103</f>
        <v>0</v>
      </c>
      <c r="AO103" s="48" t="n">
        <f aca="false">R103*$X103</f>
        <v>54</v>
      </c>
      <c r="AP103" s="48" t="n">
        <f aca="false">S103*$X103</f>
        <v>175.5</v>
      </c>
      <c r="AQ103" s="48" t="n">
        <f aca="false">T103*$X103</f>
        <v>0</v>
      </c>
      <c r="AR103" s="48" t="n">
        <f aca="false">U103*$X103</f>
        <v>0</v>
      </c>
      <c r="AS103" s="48" t="n">
        <f aca="false">V103*$X103</f>
        <v>229.5</v>
      </c>
      <c r="AT103" s="48" t="n">
        <f aca="false">W103*$X103</f>
        <v>-148.5</v>
      </c>
      <c r="AU103" s="48" t="n">
        <f aca="false">X103*$X103</f>
        <v>182.25</v>
      </c>
      <c r="AV103" s="48" t="n">
        <f aca="false">Y103*$X103</f>
        <v>182.25</v>
      </c>
      <c r="AW103" s="48" t="n">
        <f aca="false">Z103*$X103</f>
        <v>0</v>
      </c>
      <c r="AX103" s="48" t="n">
        <f aca="false">AA103*$X103</f>
        <v>0</v>
      </c>
      <c r="AY103" s="48" t="n">
        <f aca="false">AB103*$X103</f>
        <v>911.25</v>
      </c>
      <c r="AZ103" s="48" t="n">
        <f aca="false">AC103*$X103</f>
        <v>0</v>
      </c>
      <c r="BA103" s="1"/>
      <c r="BB103" s="1"/>
      <c r="BC103" s="1"/>
      <c r="BD103" s="1"/>
      <c r="BE103" s="1"/>
      <c r="BF103" s="1"/>
    </row>
    <row r="104" s="48" customFormat="true" ht="15" hidden="false" customHeight="true" outlineLevel="0" collapsed="false">
      <c r="A104" s="42" t="s">
        <v>173</v>
      </c>
      <c r="B104" s="42" t="n">
        <v>0</v>
      </c>
      <c r="C104" s="43"/>
      <c r="D104" s="44" t="n">
        <v>7</v>
      </c>
      <c r="E104" s="44" t="n">
        <v>4</v>
      </c>
      <c r="F104" s="44"/>
      <c r="G104" s="44" t="n">
        <v>6</v>
      </c>
      <c r="H104" s="44" t="n">
        <f aca="false">B104+D104+E104+F104+G104+C104</f>
        <v>17</v>
      </c>
      <c r="I104" s="45"/>
      <c r="J104" s="49"/>
      <c r="K104" s="49"/>
      <c r="L104" s="49"/>
      <c r="M104" s="49"/>
      <c r="N104" s="49" t="n">
        <v>10</v>
      </c>
      <c r="O104" s="49" t="n">
        <v>4</v>
      </c>
      <c r="P104" s="49"/>
      <c r="Q104" s="49" t="n">
        <v>2</v>
      </c>
      <c r="R104" s="49" t="n">
        <v>5</v>
      </c>
      <c r="S104" s="49"/>
      <c r="T104" s="49"/>
      <c r="U104" s="49" t="n">
        <v>0</v>
      </c>
      <c r="V104" s="47" t="n">
        <f aca="false">J104+K104+L104+M104+N104+O104+P104+Q104+R104+S104+T104+U104</f>
        <v>21</v>
      </c>
      <c r="W104" s="47" t="n">
        <f aca="false">H104-V104</f>
        <v>-4</v>
      </c>
      <c r="X104" s="48" t="n">
        <v>16.5</v>
      </c>
      <c r="Y104" s="48" t="n">
        <f aca="false">B104*$X104</f>
        <v>0</v>
      </c>
      <c r="Z104" s="48" t="n">
        <f aca="false">C104*$X104</f>
        <v>0</v>
      </c>
      <c r="AA104" s="48" t="n">
        <f aca="false">D104*$X104</f>
        <v>115.5</v>
      </c>
      <c r="AB104" s="48" t="n">
        <f aca="false">E104*$X104</f>
        <v>66</v>
      </c>
      <c r="AC104" s="48" t="n">
        <f aca="false">F104*$X104</f>
        <v>0</v>
      </c>
      <c r="AD104" s="48" t="n">
        <f aca="false">G104*$X104</f>
        <v>99</v>
      </c>
      <c r="AE104" s="48" t="n">
        <f aca="false">H104*$X104</f>
        <v>280.5</v>
      </c>
      <c r="AF104" s="48" t="n">
        <f aca="false">I104*$X104</f>
        <v>0</v>
      </c>
      <c r="AG104" s="48" t="n">
        <f aca="false">J104*$X104</f>
        <v>0</v>
      </c>
      <c r="AH104" s="48" t="n">
        <f aca="false">K104*$X104</f>
        <v>0</v>
      </c>
      <c r="AI104" s="48" t="n">
        <f aca="false">L104*$X104</f>
        <v>0</v>
      </c>
      <c r="AJ104" s="48" t="n">
        <f aca="false">M104*$X104</f>
        <v>0</v>
      </c>
      <c r="AK104" s="48" t="n">
        <f aca="false">N104*$X104</f>
        <v>165</v>
      </c>
      <c r="AL104" s="48" t="n">
        <f aca="false">O104*$X104</f>
        <v>66</v>
      </c>
      <c r="AM104" s="48" t="n">
        <f aca="false">P104*$X104</f>
        <v>0</v>
      </c>
      <c r="AN104" s="48" t="n">
        <f aca="false">Q104*$X104</f>
        <v>33</v>
      </c>
      <c r="AO104" s="48" t="n">
        <f aca="false">R104*$X104</f>
        <v>82.5</v>
      </c>
      <c r="AP104" s="48" t="n">
        <f aca="false">S104*$X104</f>
        <v>0</v>
      </c>
      <c r="AQ104" s="48" t="n">
        <f aca="false">T104*$X104</f>
        <v>0</v>
      </c>
      <c r="AR104" s="48" t="n">
        <f aca="false">U104*$X104</f>
        <v>0</v>
      </c>
      <c r="AS104" s="48" t="n">
        <f aca="false">V104*$X104</f>
        <v>346.5</v>
      </c>
      <c r="AT104" s="48" t="n">
        <f aca="false">W104*$X104</f>
        <v>-66</v>
      </c>
      <c r="AU104" s="48" t="n">
        <f aca="false">X104*$X104</f>
        <v>272.25</v>
      </c>
      <c r="AV104" s="48" t="n">
        <f aca="false">Y104*$X104</f>
        <v>0</v>
      </c>
      <c r="AW104" s="48" t="n">
        <f aca="false">Z104*$X104</f>
        <v>0</v>
      </c>
      <c r="AX104" s="48" t="n">
        <f aca="false">AA104*$X104</f>
        <v>1905.75</v>
      </c>
      <c r="AY104" s="48" t="n">
        <f aca="false">AB104*$X104</f>
        <v>1089</v>
      </c>
      <c r="AZ104" s="48" t="n">
        <f aca="false">AC104*$X104</f>
        <v>0</v>
      </c>
      <c r="BA104" s="1"/>
      <c r="BB104" s="1"/>
      <c r="BC104" s="1"/>
      <c r="BD104" s="1"/>
      <c r="BE104" s="1"/>
      <c r="BF104" s="1"/>
    </row>
    <row r="105" s="48" customFormat="true" ht="15" hidden="false" customHeight="true" outlineLevel="0" collapsed="false">
      <c r="A105" s="42" t="s">
        <v>174</v>
      </c>
      <c r="B105" s="42" t="n">
        <v>0</v>
      </c>
      <c r="C105" s="43"/>
      <c r="D105" s="44"/>
      <c r="E105" s="44"/>
      <c r="F105" s="44"/>
      <c r="G105" s="44"/>
      <c r="H105" s="44" t="n">
        <f aca="false">B105+D105+E105+F105+G105+C105</f>
        <v>0</v>
      </c>
      <c r="I105" s="45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 t="n">
        <v>0</v>
      </c>
      <c r="V105" s="47" t="n">
        <f aca="false">J105+K105+L105+M105+N105+O105+P105+Q105+R105+S105+T105+U105</f>
        <v>0</v>
      </c>
      <c r="W105" s="47" t="n">
        <f aca="false">H105-V105</f>
        <v>0</v>
      </c>
      <c r="X105" s="48" t="n">
        <v>16.5</v>
      </c>
      <c r="Y105" s="48" t="n">
        <f aca="false">B105*$X105</f>
        <v>0</v>
      </c>
      <c r="Z105" s="48" t="n">
        <f aca="false">C105*$X105</f>
        <v>0</v>
      </c>
      <c r="AA105" s="48" t="n">
        <f aca="false">D105*$X105</f>
        <v>0</v>
      </c>
      <c r="AB105" s="48" t="n">
        <f aca="false">E105*$X105</f>
        <v>0</v>
      </c>
      <c r="AC105" s="48" t="n">
        <f aca="false">F105*$X105</f>
        <v>0</v>
      </c>
      <c r="AD105" s="48" t="n">
        <f aca="false">G105*$X105</f>
        <v>0</v>
      </c>
      <c r="AE105" s="48" t="n">
        <f aca="false">H105*$X105</f>
        <v>0</v>
      </c>
      <c r="AF105" s="48" t="n">
        <f aca="false">I105*$X105</f>
        <v>0</v>
      </c>
      <c r="AG105" s="48" t="n">
        <f aca="false">J105*$X105</f>
        <v>0</v>
      </c>
      <c r="AH105" s="48" t="n">
        <f aca="false">K105*$X105</f>
        <v>0</v>
      </c>
      <c r="AI105" s="48" t="n">
        <f aca="false">L105*$X105</f>
        <v>0</v>
      </c>
      <c r="AJ105" s="48" t="n">
        <f aca="false">M105*$X105</f>
        <v>0</v>
      </c>
      <c r="AK105" s="48" t="n">
        <f aca="false">N105*$X105</f>
        <v>0</v>
      </c>
      <c r="AL105" s="48" t="n">
        <f aca="false">O105*$X105</f>
        <v>0</v>
      </c>
      <c r="AM105" s="48" t="n">
        <f aca="false">P105*$X105</f>
        <v>0</v>
      </c>
      <c r="AN105" s="48" t="n">
        <f aca="false">Q105*$X105</f>
        <v>0</v>
      </c>
      <c r="AO105" s="48" t="n">
        <f aca="false">R105*$X105</f>
        <v>0</v>
      </c>
      <c r="AP105" s="48" t="n">
        <f aca="false">S105*$X105</f>
        <v>0</v>
      </c>
      <c r="AQ105" s="48" t="n">
        <f aca="false">T105*$X105</f>
        <v>0</v>
      </c>
      <c r="AR105" s="48" t="n">
        <f aca="false">U105*$X105</f>
        <v>0</v>
      </c>
      <c r="AS105" s="48" t="n">
        <f aca="false">V105*$X105</f>
        <v>0</v>
      </c>
      <c r="AT105" s="48" t="n">
        <f aca="false">W105*$X105</f>
        <v>0</v>
      </c>
      <c r="AU105" s="48" t="n">
        <f aca="false">X105*$X105</f>
        <v>272.25</v>
      </c>
      <c r="AV105" s="48" t="n">
        <f aca="false">Y105*$X105</f>
        <v>0</v>
      </c>
      <c r="AW105" s="48" t="n">
        <f aca="false">Z105*$X105</f>
        <v>0</v>
      </c>
      <c r="AX105" s="48" t="n">
        <f aca="false">AA105*$X105</f>
        <v>0</v>
      </c>
      <c r="AY105" s="48" t="n">
        <f aca="false">AB105*$X105</f>
        <v>0</v>
      </c>
      <c r="AZ105" s="48" t="n">
        <f aca="false">AC105*$X105</f>
        <v>0</v>
      </c>
      <c r="BA105" s="1"/>
      <c r="BB105" s="1"/>
      <c r="BC105" s="1"/>
      <c r="BD105" s="1"/>
      <c r="BE105" s="1"/>
      <c r="BF105" s="1"/>
    </row>
    <row r="106" s="48" customFormat="true" ht="15" hidden="false" customHeight="true" outlineLevel="0" collapsed="false">
      <c r="A106" s="42" t="s">
        <v>175</v>
      </c>
      <c r="B106" s="42" t="n">
        <v>4</v>
      </c>
      <c r="C106" s="43"/>
      <c r="D106" s="44" t="n">
        <v>2</v>
      </c>
      <c r="E106" s="44"/>
      <c r="F106" s="44"/>
      <c r="G106" s="44" t="n">
        <v>3</v>
      </c>
      <c r="H106" s="44" t="n">
        <f aca="false">B106+D106+E106+F106+G106+C106</f>
        <v>9</v>
      </c>
      <c r="I106" s="45"/>
      <c r="J106" s="49"/>
      <c r="K106" s="49"/>
      <c r="L106" s="49"/>
      <c r="M106" s="49"/>
      <c r="N106" s="49"/>
      <c r="O106" s="49"/>
      <c r="P106" s="49"/>
      <c r="Q106" s="49"/>
      <c r="R106" s="49" t="n">
        <v>1</v>
      </c>
      <c r="S106" s="49"/>
      <c r="T106" s="49"/>
      <c r="U106" s="49"/>
      <c r="V106" s="47" t="n">
        <f aca="false">J106+K106+L106+M106+N106+O106+P106+Q106+R106+S106+T106+U106</f>
        <v>1</v>
      </c>
      <c r="W106" s="47" t="n">
        <f aca="false">H106-V106</f>
        <v>8</v>
      </c>
      <c r="X106" s="48" t="n">
        <v>19.5</v>
      </c>
      <c r="Y106" s="48" t="n">
        <f aca="false">B106*$X106</f>
        <v>78</v>
      </c>
      <c r="Z106" s="48" t="n">
        <f aca="false">C106*$X106</f>
        <v>0</v>
      </c>
      <c r="AA106" s="48" t="n">
        <f aca="false">D106*$X106</f>
        <v>39</v>
      </c>
      <c r="AB106" s="48" t="n">
        <f aca="false">E106*$X106</f>
        <v>0</v>
      </c>
      <c r="AC106" s="48" t="n">
        <f aca="false">F106*$X106</f>
        <v>0</v>
      </c>
      <c r="AD106" s="48" t="n">
        <f aca="false">G106*$X106</f>
        <v>58.5</v>
      </c>
      <c r="AE106" s="48" t="n">
        <f aca="false">H106*$X106</f>
        <v>175.5</v>
      </c>
      <c r="AF106" s="48" t="n">
        <f aca="false">I106*$X106</f>
        <v>0</v>
      </c>
      <c r="AG106" s="48" t="n">
        <f aca="false">J106*$X106</f>
        <v>0</v>
      </c>
      <c r="AH106" s="48" t="n">
        <f aca="false">K106*$X106</f>
        <v>0</v>
      </c>
      <c r="AI106" s="48" t="n">
        <f aca="false">L106*$X106</f>
        <v>0</v>
      </c>
      <c r="AJ106" s="48" t="n">
        <f aca="false">M106*$X106</f>
        <v>0</v>
      </c>
      <c r="AK106" s="48" t="n">
        <f aca="false">N106*$X106</f>
        <v>0</v>
      </c>
      <c r="AL106" s="48" t="n">
        <f aca="false">O106*$X106</f>
        <v>0</v>
      </c>
      <c r="AM106" s="48" t="n">
        <f aca="false">P106*$X106</f>
        <v>0</v>
      </c>
      <c r="AN106" s="48" t="n">
        <f aca="false">Q106*$X106</f>
        <v>0</v>
      </c>
      <c r="AO106" s="48" t="n">
        <f aca="false">R106*$X106</f>
        <v>19.5</v>
      </c>
      <c r="AP106" s="48" t="n">
        <f aca="false">S106*$X106</f>
        <v>0</v>
      </c>
      <c r="AQ106" s="48" t="n">
        <f aca="false">T106*$X106</f>
        <v>0</v>
      </c>
      <c r="AR106" s="48" t="n">
        <f aca="false">U106*$X106</f>
        <v>0</v>
      </c>
      <c r="AS106" s="48" t="n">
        <f aca="false">V106*$X106</f>
        <v>19.5</v>
      </c>
      <c r="AT106" s="48" t="n">
        <f aca="false">W106*$X106</f>
        <v>156</v>
      </c>
      <c r="AU106" s="48" t="n">
        <f aca="false">X106*$X106</f>
        <v>380.25</v>
      </c>
      <c r="AV106" s="48" t="n">
        <f aca="false">Y106*$X106</f>
        <v>1521</v>
      </c>
      <c r="AW106" s="48" t="n">
        <f aca="false">Z106*$X106</f>
        <v>0</v>
      </c>
      <c r="AX106" s="48" t="n">
        <f aca="false">AA106*$X106</f>
        <v>760.5</v>
      </c>
      <c r="AY106" s="48" t="n">
        <f aca="false">AB106*$X106</f>
        <v>0</v>
      </c>
      <c r="AZ106" s="48" t="n">
        <f aca="false">AC106*$X106</f>
        <v>0</v>
      </c>
      <c r="BA106" s="1"/>
      <c r="BB106" s="1"/>
      <c r="BC106" s="1"/>
      <c r="BD106" s="1"/>
      <c r="BE106" s="1"/>
      <c r="BF106" s="1"/>
    </row>
    <row r="107" s="48" customFormat="true" ht="15" hidden="false" customHeight="true" outlineLevel="0" collapsed="false">
      <c r="A107" s="42" t="s">
        <v>176</v>
      </c>
      <c r="B107" s="42" t="n">
        <v>3</v>
      </c>
      <c r="C107" s="43"/>
      <c r="D107" s="44" t="n">
        <v>1</v>
      </c>
      <c r="E107" s="44" t="n">
        <v>68</v>
      </c>
      <c r="F107" s="44"/>
      <c r="G107" s="44"/>
      <c r="H107" s="44" t="n">
        <f aca="false">B107+D107+E107+F107+G107+C107</f>
        <v>72</v>
      </c>
      <c r="I107" s="45"/>
      <c r="J107" s="49"/>
      <c r="K107" s="49"/>
      <c r="L107" s="49"/>
      <c r="M107" s="49"/>
      <c r="N107" s="49" t="n">
        <v>10</v>
      </c>
      <c r="O107" s="49"/>
      <c r="P107" s="49"/>
      <c r="Q107" s="49" t="n">
        <v>1</v>
      </c>
      <c r="R107" s="49" t="n">
        <v>1</v>
      </c>
      <c r="S107" s="49"/>
      <c r="T107" s="49"/>
      <c r="U107" s="49" t="n">
        <v>0</v>
      </c>
      <c r="V107" s="47" t="n">
        <f aca="false">J107+K107+L107+M107+N107+O107+P107+Q107+R107+S107+T107+U107</f>
        <v>12</v>
      </c>
      <c r="W107" s="47" t="n">
        <f aca="false">H107-V107</f>
        <v>60</v>
      </c>
      <c r="X107" s="48" t="n">
        <v>19.5</v>
      </c>
      <c r="Y107" s="48" t="n">
        <f aca="false">B107*$X107</f>
        <v>58.5</v>
      </c>
      <c r="Z107" s="48" t="n">
        <f aca="false">C107*$X107</f>
        <v>0</v>
      </c>
      <c r="AA107" s="48" t="n">
        <f aca="false">D107*$X107</f>
        <v>19.5</v>
      </c>
      <c r="AB107" s="48" t="n">
        <f aca="false">E107*$X107</f>
        <v>1326</v>
      </c>
      <c r="AC107" s="48" t="n">
        <f aca="false">F107*$X107</f>
        <v>0</v>
      </c>
      <c r="AD107" s="48" t="n">
        <f aca="false">G107*$X107</f>
        <v>0</v>
      </c>
      <c r="AE107" s="48" t="n">
        <f aca="false">H107*$X107</f>
        <v>1404</v>
      </c>
      <c r="AF107" s="48" t="n">
        <f aca="false">I107*$X107</f>
        <v>0</v>
      </c>
      <c r="AG107" s="48" t="n">
        <f aca="false">J107*$X107</f>
        <v>0</v>
      </c>
      <c r="AH107" s="48" t="n">
        <f aca="false">K107*$X107</f>
        <v>0</v>
      </c>
      <c r="AI107" s="48" t="n">
        <f aca="false">L107*$X107</f>
        <v>0</v>
      </c>
      <c r="AJ107" s="48" t="n">
        <f aca="false">M107*$X107</f>
        <v>0</v>
      </c>
      <c r="AK107" s="48" t="n">
        <f aca="false">N107*$X107</f>
        <v>195</v>
      </c>
      <c r="AL107" s="48" t="n">
        <f aca="false">O107*$X107</f>
        <v>0</v>
      </c>
      <c r="AM107" s="48" t="n">
        <f aca="false">P107*$X107</f>
        <v>0</v>
      </c>
      <c r="AN107" s="48" t="n">
        <f aca="false">Q107*$X107</f>
        <v>19.5</v>
      </c>
      <c r="AO107" s="48" t="n">
        <f aca="false">R107*$X107</f>
        <v>19.5</v>
      </c>
      <c r="AP107" s="48" t="n">
        <f aca="false">S107*$X107</f>
        <v>0</v>
      </c>
      <c r="AQ107" s="48" t="n">
        <f aca="false">T107*$X107</f>
        <v>0</v>
      </c>
      <c r="AR107" s="48" t="n">
        <f aca="false">U107*$X107</f>
        <v>0</v>
      </c>
      <c r="AS107" s="48" t="n">
        <f aca="false">V107*$X107</f>
        <v>234</v>
      </c>
      <c r="AT107" s="48" t="n">
        <f aca="false">W107*$X107</f>
        <v>1170</v>
      </c>
      <c r="AU107" s="48" t="n">
        <f aca="false">X107*$X107</f>
        <v>380.25</v>
      </c>
      <c r="AV107" s="48" t="n">
        <f aca="false">Y107*$X107</f>
        <v>1140.75</v>
      </c>
      <c r="AW107" s="48" t="n">
        <f aca="false">Z107*$X107</f>
        <v>0</v>
      </c>
      <c r="AX107" s="48" t="n">
        <f aca="false">AA107*$X107</f>
        <v>380.25</v>
      </c>
      <c r="AY107" s="48" t="n">
        <f aca="false">AB107*$X107</f>
        <v>25857</v>
      </c>
      <c r="AZ107" s="48" t="n">
        <f aca="false">AC107*$X107</f>
        <v>0</v>
      </c>
      <c r="BA107" s="1"/>
      <c r="BB107" s="1"/>
      <c r="BC107" s="1"/>
      <c r="BD107" s="1"/>
      <c r="BE107" s="1"/>
      <c r="BF107" s="1"/>
    </row>
    <row r="108" s="48" customFormat="true" ht="15" hidden="false" customHeight="true" outlineLevel="0" collapsed="false">
      <c r="A108" s="42" t="s">
        <v>177</v>
      </c>
      <c r="B108" s="42" t="n">
        <v>0</v>
      </c>
      <c r="C108" s="43"/>
      <c r="D108" s="44"/>
      <c r="E108" s="44" t="n">
        <v>2</v>
      </c>
      <c r="F108" s="44"/>
      <c r="G108" s="44"/>
      <c r="H108" s="44" t="n">
        <f aca="false">B108+D108+E108+F108+G108+C108</f>
        <v>2</v>
      </c>
      <c r="I108" s="45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7" t="n">
        <f aca="false">J108+K108+L108+M108+N108+O108+P108+Q108+R108+S108+T108+U108</f>
        <v>0</v>
      </c>
      <c r="W108" s="47" t="n">
        <f aca="false">H108-V108</f>
        <v>2</v>
      </c>
      <c r="X108" s="48" t="n">
        <v>19.5</v>
      </c>
      <c r="Y108" s="48" t="n">
        <f aca="false">B108*$X108</f>
        <v>0</v>
      </c>
      <c r="Z108" s="48" t="n">
        <f aca="false">C108*$X108</f>
        <v>0</v>
      </c>
      <c r="AA108" s="48" t="n">
        <f aca="false">D108*$X108</f>
        <v>0</v>
      </c>
      <c r="AB108" s="48" t="n">
        <f aca="false">E108*$X108</f>
        <v>39</v>
      </c>
      <c r="AC108" s="48" t="n">
        <f aca="false">F108*$X108</f>
        <v>0</v>
      </c>
      <c r="AD108" s="48" t="n">
        <f aca="false">G108*$X108</f>
        <v>0</v>
      </c>
      <c r="AE108" s="48" t="n">
        <f aca="false">H108*$X108</f>
        <v>39</v>
      </c>
      <c r="AF108" s="48" t="n">
        <f aca="false">I108*$X108</f>
        <v>0</v>
      </c>
      <c r="AG108" s="48" t="n">
        <f aca="false">J108*$X108</f>
        <v>0</v>
      </c>
      <c r="AH108" s="48" t="n">
        <f aca="false">K108*$X108</f>
        <v>0</v>
      </c>
      <c r="AI108" s="48" t="n">
        <f aca="false">L108*$X108</f>
        <v>0</v>
      </c>
      <c r="AJ108" s="48" t="n">
        <f aca="false">M108*$X108</f>
        <v>0</v>
      </c>
      <c r="AK108" s="48" t="n">
        <f aca="false">N108*$X108</f>
        <v>0</v>
      </c>
      <c r="AL108" s="48" t="n">
        <f aca="false">O108*$X108</f>
        <v>0</v>
      </c>
      <c r="AM108" s="48" t="n">
        <f aca="false">P108*$X108</f>
        <v>0</v>
      </c>
      <c r="AN108" s="48" t="n">
        <f aca="false">Q108*$X108</f>
        <v>0</v>
      </c>
      <c r="AO108" s="48" t="n">
        <f aca="false">R108*$X108</f>
        <v>0</v>
      </c>
      <c r="AP108" s="48" t="n">
        <f aca="false">S108*$X108</f>
        <v>0</v>
      </c>
      <c r="AQ108" s="48" t="n">
        <f aca="false">T108*$X108</f>
        <v>0</v>
      </c>
      <c r="AR108" s="48" t="n">
        <f aca="false">U108*$X108</f>
        <v>0</v>
      </c>
      <c r="AS108" s="48" t="n">
        <f aca="false">V108*$X108</f>
        <v>0</v>
      </c>
      <c r="AT108" s="48" t="n">
        <f aca="false">W108*$X108</f>
        <v>39</v>
      </c>
      <c r="AU108" s="48" t="n">
        <f aca="false">X108*$X108</f>
        <v>380.25</v>
      </c>
      <c r="AV108" s="48" t="n">
        <f aca="false">Y108*$X108</f>
        <v>0</v>
      </c>
      <c r="AW108" s="48" t="n">
        <f aca="false">Z108*$X108</f>
        <v>0</v>
      </c>
      <c r="AX108" s="48" t="n">
        <f aca="false">AA108*$X108</f>
        <v>0</v>
      </c>
      <c r="AY108" s="48" t="n">
        <f aca="false">AB108*$X108</f>
        <v>760.5</v>
      </c>
      <c r="AZ108" s="48" t="n">
        <f aca="false">AC108*$X108</f>
        <v>0</v>
      </c>
      <c r="BA108" s="1"/>
      <c r="BB108" s="1"/>
      <c r="BC108" s="1"/>
      <c r="BD108" s="1"/>
      <c r="BE108" s="1"/>
      <c r="BF108" s="1"/>
    </row>
    <row r="109" s="48" customFormat="true" ht="15" hidden="false" customHeight="true" outlineLevel="0" collapsed="false">
      <c r="A109" s="42" t="s">
        <v>178</v>
      </c>
      <c r="B109" s="42" t="n">
        <v>0</v>
      </c>
      <c r="C109" s="43"/>
      <c r="D109" s="44" t="n">
        <v>3</v>
      </c>
      <c r="E109" s="44"/>
      <c r="F109" s="44"/>
      <c r="G109" s="44"/>
      <c r="H109" s="44" t="n">
        <f aca="false">B109+D109+E109+F109+G109+C109</f>
        <v>3</v>
      </c>
      <c r="I109" s="45"/>
      <c r="J109" s="49"/>
      <c r="K109" s="49"/>
      <c r="L109" s="49"/>
      <c r="M109" s="49"/>
      <c r="N109" s="49" t="n">
        <v>3</v>
      </c>
      <c r="O109" s="49"/>
      <c r="P109" s="49"/>
      <c r="Q109" s="49" t="n">
        <v>2</v>
      </c>
      <c r="R109" s="49"/>
      <c r="S109" s="49"/>
      <c r="T109" s="49"/>
      <c r="U109" s="49" t="n">
        <v>0</v>
      </c>
      <c r="V109" s="47" t="n">
        <f aca="false">J109+K109+L109+M109+N109+O109+P109+Q109+R109+S109+T109+U109</f>
        <v>5</v>
      </c>
      <c r="W109" s="47" t="n">
        <f aca="false">H109-V109</f>
        <v>-2</v>
      </c>
      <c r="X109" s="48" t="n">
        <v>22.5</v>
      </c>
      <c r="Y109" s="48" t="n">
        <f aca="false">B109*$X109</f>
        <v>0</v>
      </c>
      <c r="Z109" s="48" t="n">
        <f aca="false">C109*$X109</f>
        <v>0</v>
      </c>
      <c r="AA109" s="48" t="n">
        <f aca="false">D109*$X109</f>
        <v>67.5</v>
      </c>
      <c r="AB109" s="48" t="n">
        <f aca="false">E109*$X109</f>
        <v>0</v>
      </c>
      <c r="AC109" s="48" t="n">
        <f aca="false">F109*$X109</f>
        <v>0</v>
      </c>
      <c r="AD109" s="48" t="n">
        <f aca="false">G109*$X109</f>
        <v>0</v>
      </c>
      <c r="AE109" s="48" t="n">
        <f aca="false">H109*$X109</f>
        <v>67.5</v>
      </c>
      <c r="AF109" s="48" t="n">
        <f aca="false">I109*$X109</f>
        <v>0</v>
      </c>
      <c r="AG109" s="48" t="n">
        <f aca="false">J109*$X109</f>
        <v>0</v>
      </c>
      <c r="AH109" s="48" t="n">
        <f aca="false">K109*$X109</f>
        <v>0</v>
      </c>
      <c r="AI109" s="48" t="n">
        <f aca="false">L109*$X109</f>
        <v>0</v>
      </c>
      <c r="AJ109" s="48" t="n">
        <f aca="false">M109*$X109</f>
        <v>0</v>
      </c>
      <c r="AK109" s="48" t="n">
        <f aca="false">N109*$X109</f>
        <v>67.5</v>
      </c>
      <c r="AL109" s="48" t="n">
        <f aca="false">O109*$X109</f>
        <v>0</v>
      </c>
      <c r="AM109" s="48" t="n">
        <f aca="false">P109*$X109</f>
        <v>0</v>
      </c>
      <c r="AN109" s="48" t="n">
        <f aca="false">Q109*$X109</f>
        <v>45</v>
      </c>
      <c r="AO109" s="48" t="n">
        <f aca="false">R109*$X109</f>
        <v>0</v>
      </c>
      <c r="AP109" s="48" t="n">
        <f aca="false">S109*$X109</f>
        <v>0</v>
      </c>
      <c r="AQ109" s="48" t="n">
        <f aca="false">T109*$X109</f>
        <v>0</v>
      </c>
      <c r="AR109" s="48" t="n">
        <f aca="false">U109*$X109</f>
        <v>0</v>
      </c>
      <c r="AS109" s="48" t="n">
        <f aca="false">V109*$X109</f>
        <v>112.5</v>
      </c>
      <c r="AT109" s="48" t="n">
        <f aca="false">W109*$X109</f>
        <v>-45</v>
      </c>
      <c r="AU109" s="48" t="n">
        <f aca="false">X109*$X109</f>
        <v>506.25</v>
      </c>
      <c r="AV109" s="48" t="n">
        <f aca="false">Y109*$X109</f>
        <v>0</v>
      </c>
      <c r="AW109" s="48" t="n">
        <f aca="false">Z109*$X109</f>
        <v>0</v>
      </c>
      <c r="AX109" s="48" t="n">
        <f aca="false">AA109*$X109</f>
        <v>1518.75</v>
      </c>
      <c r="AY109" s="48" t="n">
        <f aca="false">AB109*$X109</f>
        <v>0</v>
      </c>
      <c r="AZ109" s="48" t="n">
        <f aca="false">AC109*$X109</f>
        <v>0</v>
      </c>
      <c r="BA109" s="1"/>
      <c r="BB109" s="1"/>
      <c r="BC109" s="1"/>
      <c r="BD109" s="1"/>
      <c r="BE109" s="1"/>
      <c r="BF109" s="1"/>
    </row>
    <row r="110" s="48" customFormat="true" ht="15" hidden="false" customHeight="true" outlineLevel="0" collapsed="false">
      <c r="A110" s="42" t="s">
        <v>179</v>
      </c>
      <c r="B110" s="42" t="n">
        <v>0</v>
      </c>
      <c r="C110" s="43"/>
      <c r="D110" s="44"/>
      <c r="E110" s="44"/>
      <c r="F110" s="44"/>
      <c r="G110" s="44"/>
      <c r="H110" s="44" t="n">
        <f aca="false">B110+D110+E110+F110+G110+C110</f>
        <v>0</v>
      </c>
      <c r="I110" s="45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7" t="n">
        <f aca="false">J110+K110+L110+M110+N110+O110+P110+Q110+R110+S110+T110+U110</f>
        <v>0</v>
      </c>
      <c r="W110" s="47" t="n">
        <f aca="false">H110-V110</f>
        <v>0</v>
      </c>
      <c r="X110" s="48" t="n">
        <v>22.5</v>
      </c>
      <c r="Y110" s="48" t="n">
        <f aca="false">B110*$X110</f>
        <v>0</v>
      </c>
      <c r="Z110" s="48" t="n">
        <f aca="false">C110*$X110</f>
        <v>0</v>
      </c>
      <c r="AA110" s="48" t="n">
        <f aca="false">D110*$X110</f>
        <v>0</v>
      </c>
      <c r="AB110" s="48" t="n">
        <f aca="false">E110*$X110</f>
        <v>0</v>
      </c>
      <c r="AC110" s="48" t="n">
        <f aca="false">F110*$X110</f>
        <v>0</v>
      </c>
      <c r="AD110" s="48" t="n">
        <f aca="false">G110*$X110</f>
        <v>0</v>
      </c>
      <c r="AE110" s="48" t="n">
        <f aca="false">H110*$X110</f>
        <v>0</v>
      </c>
      <c r="AF110" s="48" t="n">
        <f aca="false">I110*$X110</f>
        <v>0</v>
      </c>
      <c r="AG110" s="48" t="n">
        <f aca="false">J110*$X110</f>
        <v>0</v>
      </c>
      <c r="AH110" s="48" t="n">
        <f aca="false">K110*$X110</f>
        <v>0</v>
      </c>
      <c r="AI110" s="48" t="n">
        <f aca="false">L110*$X110</f>
        <v>0</v>
      </c>
      <c r="AJ110" s="48" t="n">
        <f aca="false">M110*$X110</f>
        <v>0</v>
      </c>
      <c r="AK110" s="48" t="n">
        <f aca="false">N110*$X110</f>
        <v>0</v>
      </c>
      <c r="AL110" s="48" t="n">
        <f aca="false">O110*$X110</f>
        <v>0</v>
      </c>
      <c r="AM110" s="48" t="n">
        <f aca="false">P110*$X110</f>
        <v>0</v>
      </c>
      <c r="AN110" s="48" t="n">
        <f aca="false">Q110*$X110</f>
        <v>0</v>
      </c>
      <c r="AO110" s="48" t="n">
        <f aca="false">R110*$X110</f>
        <v>0</v>
      </c>
      <c r="AP110" s="48" t="n">
        <f aca="false">S110*$X110</f>
        <v>0</v>
      </c>
      <c r="AQ110" s="48" t="n">
        <f aca="false">T110*$X110</f>
        <v>0</v>
      </c>
      <c r="AR110" s="48" t="n">
        <f aca="false">U110*$X110</f>
        <v>0</v>
      </c>
      <c r="AS110" s="48" t="n">
        <f aca="false">V110*$X110</f>
        <v>0</v>
      </c>
      <c r="AT110" s="48" t="n">
        <f aca="false">W110*$X110</f>
        <v>0</v>
      </c>
      <c r="AU110" s="48" t="n">
        <f aca="false">X110*$X110</f>
        <v>506.25</v>
      </c>
      <c r="AV110" s="48" t="n">
        <f aca="false">Y110*$X110</f>
        <v>0</v>
      </c>
      <c r="AW110" s="48" t="n">
        <f aca="false">Z110*$X110</f>
        <v>0</v>
      </c>
      <c r="AX110" s="48" t="n">
        <f aca="false">AA110*$X110</f>
        <v>0</v>
      </c>
      <c r="AY110" s="48" t="n">
        <f aca="false">AB110*$X110</f>
        <v>0</v>
      </c>
      <c r="AZ110" s="48" t="n">
        <f aca="false">AC110*$X110</f>
        <v>0</v>
      </c>
      <c r="BA110" s="1"/>
      <c r="BB110" s="1"/>
      <c r="BC110" s="1"/>
      <c r="BD110" s="1"/>
      <c r="BE110" s="1"/>
      <c r="BF110" s="1"/>
    </row>
    <row r="111" s="48" customFormat="true" ht="15" hidden="false" customHeight="true" outlineLevel="0" collapsed="false">
      <c r="A111" s="42" t="s">
        <v>180</v>
      </c>
      <c r="B111" s="42" t="n">
        <v>4</v>
      </c>
      <c r="C111" s="43"/>
      <c r="D111" s="44" t="n">
        <v>2</v>
      </c>
      <c r="E111" s="44" t="n">
        <v>6</v>
      </c>
      <c r="F111" s="44"/>
      <c r="G111" s="44" t="n">
        <v>1</v>
      </c>
      <c r="H111" s="44" t="n">
        <f aca="false">B111+D111+E111+F111+G111+C111</f>
        <v>13</v>
      </c>
      <c r="I111" s="45"/>
      <c r="J111" s="49"/>
      <c r="K111" s="49"/>
      <c r="L111" s="49"/>
      <c r="M111" s="49"/>
      <c r="N111" s="49"/>
      <c r="O111" s="49"/>
      <c r="P111" s="49"/>
      <c r="Q111" s="49" t="n">
        <v>2</v>
      </c>
      <c r="R111" s="49" t="n">
        <v>10</v>
      </c>
      <c r="S111" s="49" t="n">
        <v>7</v>
      </c>
      <c r="T111" s="49"/>
      <c r="U111" s="49" t="n">
        <v>0</v>
      </c>
      <c r="V111" s="47" t="n">
        <f aca="false">J111+K111+L111+M111+N111+O111+P111+Q111+R111+S111+T111+U111</f>
        <v>19</v>
      </c>
      <c r="W111" s="47" t="n">
        <f aca="false">H111-V111</f>
        <v>-6</v>
      </c>
      <c r="X111" s="48" t="n">
        <v>27</v>
      </c>
      <c r="Y111" s="48" t="n">
        <f aca="false">B111*$X111</f>
        <v>108</v>
      </c>
      <c r="Z111" s="48" t="n">
        <f aca="false">C111*$X111</f>
        <v>0</v>
      </c>
      <c r="AA111" s="48" t="n">
        <f aca="false">D111*$X111</f>
        <v>54</v>
      </c>
      <c r="AB111" s="48" t="n">
        <f aca="false">E111*$X111</f>
        <v>162</v>
      </c>
      <c r="AC111" s="48" t="n">
        <f aca="false">F111*$X111</f>
        <v>0</v>
      </c>
      <c r="AD111" s="48" t="n">
        <f aca="false">G111*$X111</f>
        <v>27</v>
      </c>
      <c r="AE111" s="48" t="n">
        <f aca="false">H111*$X111</f>
        <v>351</v>
      </c>
      <c r="AF111" s="48" t="n">
        <f aca="false">I111*$X111</f>
        <v>0</v>
      </c>
      <c r="AG111" s="48" t="n">
        <f aca="false">J111*$X111</f>
        <v>0</v>
      </c>
      <c r="AH111" s="48" t="n">
        <f aca="false">K111*$X111</f>
        <v>0</v>
      </c>
      <c r="AI111" s="48" t="n">
        <f aca="false">L111*$X111</f>
        <v>0</v>
      </c>
      <c r="AJ111" s="48" t="n">
        <f aca="false">M111*$X111</f>
        <v>0</v>
      </c>
      <c r="AK111" s="48" t="n">
        <f aca="false">N111*$X111</f>
        <v>0</v>
      </c>
      <c r="AL111" s="48" t="n">
        <f aca="false">O111*$X111</f>
        <v>0</v>
      </c>
      <c r="AM111" s="48" t="n">
        <f aca="false">P111*$X111</f>
        <v>0</v>
      </c>
      <c r="AN111" s="48" t="n">
        <f aca="false">Q111*$X111</f>
        <v>54</v>
      </c>
      <c r="AO111" s="48" t="n">
        <f aca="false">R111*$X111</f>
        <v>270</v>
      </c>
      <c r="AP111" s="48" t="n">
        <f aca="false">S111*$X111</f>
        <v>189</v>
      </c>
      <c r="AQ111" s="48" t="n">
        <f aca="false">T111*$X111</f>
        <v>0</v>
      </c>
      <c r="AR111" s="48" t="n">
        <f aca="false">U111*$X111</f>
        <v>0</v>
      </c>
      <c r="AS111" s="48" t="n">
        <f aca="false">V111*$X111</f>
        <v>513</v>
      </c>
      <c r="AT111" s="48" t="n">
        <f aca="false">W111*$X111</f>
        <v>-162</v>
      </c>
      <c r="AU111" s="48" t="n">
        <f aca="false">X111*$X111</f>
        <v>729</v>
      </c>
      <c r="AV111" s="48" t="n">
        <f aca="false">Y111*$X111</f>
        <v>2916</v>
      </c>
      <c r="AW111" s="48" t="n">
        <f aca="false">Z111*$X111</f>
        <v>0</v>
      </c>
      <c r="AX111" s="48" t="n">
        <f aca="false">AA111*$X111</f>
        <v>1458</v>
      </c>
      <c r="AY111" s="48" t="n">
        <f aca="false">AB111*$X111</f>
        <v>4374</v>
      </c>
      <c r="AZ111" s="48" t="n">
        <f aca="false">AC111*$X111</f>
        <v>0</v>
      </c>
      <c r="BA111" s="1"/>
      <c r="BB111" s="1"/>
      <c r="BC111" s="1"/>
      <c r="BD111" s="1"/>
      <c r="BE111" s="1"/>
      <c r="BF111" s="1"/>
    </row>
    <row r="112" s="48" customFormat="true" ht="15" hidden="false" customHeight="true" outlineLevel="0" collapsed="false">
      <c r="A112" s="42" t="s">
        <v>181</v>
      </c>
      <c r="B112" s="42" t="n">
        <v>1</v>
      </c>
      <c r="C112" s="43"/>
      <c r="D112" s="44" t="n">
        <v>21</v>
      </c>
      <c r="E112" s="44" t="n">
        <v>20</v>
      </c>
      <c r="F112" s="44"/>
      <c r="G112" s="44" t="n">
        <v>14</v>
      </c>
      <c r="H112" s="44" t="n">
        <f aca="false">B112+D112+E112+F112+G112+C112</f>
        <v>56</v>
      </c>
      <c r="I112" s="45"/>
      <c r="J112" s="49" t="n">
        <v>1</v>
      </c>
      <c r="K112" s="49"/>
      <c r="L112" s="49"/>
      <c r="M112" s="49"/>
      <c r="N112" s="49" t="n">
        <v>18</v>
      </c>
      <c r="O112" s="49"/>
      <c r="P112" s="49"/>
      <c r="Q112" s="49" t="n">
        <v>22</v>
      </c>
      <c r="R112" s="49" t="n">
        <v>14</v>
      </c>
      <c r="S112" s="49" t="n">
        <v>2</v>
      </c>
      <c r="T112" s="49"/>
      <c r="U112" s="49" t="n">
        <v>0</v>
      </c>
      <c r="V112" s="47" t="n">
        <f aca="false">J112+K112+L112+M112+N112+O112+P112+Q112+R112+S112+T112+U112</f>
        <v>57</v>
      </c>
      <c r="W112" s="47" t="n">
        <f aca="false">H112-V112</f>
        <v>-1</v>
      </c>
      <c r="X112" s="48" t="n">
        <v>29.5</v>
      </c>
      <c r="Y112" s="48" t="n">
        <f aca="false">B112*$X112</f>
        <v>29.5</v>
      </c>
      <c r="Z112" s="48" t="n">
        <f aca="false">C112*$X112</f>
        <v>0</v>
      </c>
      <c r="AA112" s="48" t="n">
        <f aca="false">D112*$X112</f>
        <v>619.5</v>
      </c>
      <c r="AB112" s="48" t="n">
        <f aca="false">E112*$X112</f>
        <v>590</v>
      </c>
      <c r="AC112" s="48" t="n">
        <f aca="false">F112*$X112</f>
        <v>0</v>
      </c>
      <c r="AD112" s="48" t="n">
        <f aca="false">G112*$X112</f>
        <v>413</v>
      </c>
      <c r="AE112" s="48" t="n">
        <f aca="false">H112*$X112</f>
        <v>1652</v>
      </c>
      <c r="AF112" s="48" t="n">
        <f aca="false">I112*$X112</f>
        <v>0</v>
      </c>
      <c r="AG112" s="48" t="n">
        <f aca="false">J112*$X112</f>
        <v>29.5</v>
      </c>
      <c r="AH112" s="48" t="n">
        <f aca="false">K112*$X112</f>
        <v>0</v>
      </c>
      <c r="AI112" s="48" t="n">
        <f aca="false">L112*$X112</f>
        <v>0</v>
      </c>
      <c r="AJ112" s="48" t="n">
        <f aca="false">M112*$X112</f>
        <v>0</v>
      </c>
      <c r="AK112" s="48" t="n">
        <f aca="false">N112*$X112</f>
        <v>531</v>
      </c>
      <c r="AL112" s="48" t="n">
        <f aca="false">O112*$X112</f>
        <v>0</v>
      </c>
      <c r="AM112" s="48" t="n">
        <f aca="false">P112*$X112</f>
        <v>0</v>
      </c>
      <c r="AN112" s="48" t="n">
        <f aca="false">Q112*$X112</f>
        <v>649</v>
      </c>
      <c r="AO112" s="48" t="n">
        <f aca="false">R112*$X112</f>
        <v>413</v>
      </c>
      <c r="AP112" s="48" t="n">
        <f aca="false">S112*$X112</f>
        <v>59</v>
      </c>
      <c r="AQ112" s="48" t="n">
        <f aca="false">T112*$X112</f>
        <v>0</v>
      </c>
      <c r="AR112" s="48" t="n">
        <f aca="false">U112*$X112</f>
        <v>0</v>
      </c>
      <c r="AS112" s="48" t="n">
        <f aca="false">V112*$X112</f>
        <v>1681.5</v>
      </c>
      <c r="AT112" s="48" t="n">
        <f aca="false">W112*$X112</f>
        <v>-29.5</v>
      </c>
      <c r="AU112" s="48" t="n">
        <f aca="false">X112*$X112</f>
        <v>870.25</v>
      </c>
      <c r="AV112" s="48" t="n">
        <f aca="false">Y112*$X112</f>
        <v>870.25</v>
      </c>
      <c r="AW112" s="48" t="n">
        <f aca="false">Z112*$X112</f>
        <v>0</v>
      </c>
      <c r="AX112" s="48" t="n">
        <f aca="false">AA112*$X112</f>
        <v>18275.25</v>
      </c>
      <c r="AY112" s="48" t="n">
        <f aca="false">AB112*$X112</f>
        <v>17405</v>
      </c>
      <c r="AZ112" s="48" t="n">
        <f aca="false">AC112*$X112</f>
        <v>0</v>
      </c>
      <c r="BA112" s="1"/>
      <c r="BB112" s="1"/>
      <c r="BC112" s="1"/>
      <c r="BD112" s="1"/>
      <c r="BE112" s="1"/>
      <c r="BF112" s="1"/>
    </row>
    <row r="113" s="48" customFormat="true" ht="15" hidden="false" customHeight="true" outlineLevel="0" collapsed="false">
      <c r="A113" s="42" t="s">
        <v>182</v>
      </c>
      <c r="B113" s="42" t="n">
        <v>159</v>
      </c>
      <c r="C113" s="43"/>
      <c r="D113" s="44"/>
      <c r="E113" s="44" t="n">
        <v>44</v>
      </c>
      <c r="F113" s="44"/>
      <c r="G113" s="44" t="n">
        <v>8</v>
      </c>
      <c r="H113" s="44" t="n">
        <f aca="false">B113+D113+E113+F113+G113+C113</f>
        <v>211</v>
      </c>
      <c r="I113" s="45"/>
      <c r="J113" s="49"/>
      <c r="K113" s="49"/>
      <c r="L113" s="49"/>
      <c r="M113" s="49"/>
      <c r="N113" s="49"/>
      <c r="O113" s="49"/>
      <c r="P113" s="49" t="n">
        <v>182</v>
      </c>
      <c r="Q113" s="49" t="n">
        <v>3</v>
      </c>
      <c r="R113" s="49" t="n">
        <v>2</v>
      </c>
      <c r="S113" s="49"/>
      <c r="T113" s="49"/>
      <c r="U113" s="49" t="n">
        <v>10</v>
      </c>
      <c r="V113" s="47" t="n">
        <f aca="false">J113+K113+L113+M113+N113+O113+P113+Q113+R113+S113+T113+U113</f>
        <v>197</v>
      </c>
      <c r="W113" s="47" t="n">
        <f aca="false">H113-V113</f>
        <v>14</v>
      </c>
      <c r="X113" s="48" t="n">
        <v>6.2</v>
      </c>
      <c r="Y113" s="48" t="n">
        <f aca="false">B113*$X113</f>
        <v>985.8</v>
      </c>
      <c r="Z113" s="48" t="n">
        <f aca="false">C113*$X113</f>
        <v>0</v>
      </c>
      <c r="AA113" s="48" t="n">
        <f aca="false">D113*$X113</f>
        <v>0</v>
      </c>
      <c r="AB113" s="48" t="n">
        <f aca="false">E113*$X113</f>
        <v>272.8</v>
      </c>
      <c r="AC113" s="48" t="n">
        <f aca="false">F113*$X113</f>
        <v>0</v>
      </c>
      <c r="AD113" s="48" t="n">
        <f aca="false">G113*$X113</f>
        <v>49.6</v>
      </c>
      <c r="AE113" s="48" t="n">
        <f aca="false">H113*$X113</f>
        <v>1308.2</v>
      </c>
      <c r="AF113" s="48" t="n">
        <f aca="false">I113*$X113</f>
        <v>0</v>
      </c>
      <c r="AG113" s="48" t="n">
        <f aca="false">J113*$X113</f>
        <v>0</v>
      </c>
      <c r="AH113" s="48" t="n">
        <f aca="false">K113*$X113</f>
        <v>0</v>
      </c>
      <c r="AI113" s="48" t="n">
        <f aca="false">L113*$X113</f>
        <v>0</v>
      </c>
      <c r="AJ113" s="48" t="n">
        <f aca="false">M113*$X113</f>
        <v>0</v>
      </c>
      <c r="AK113" s="48" t="n">
        <f aca="false">N113*$X113</f>
        <v>0</v>
      </c>
      <c r="AL113" s="48" t="n">
        <f aca="false">O113*$X113</f>
        <v>0</v>
      </c>
      <c r="AM113" s="48" t="n">
        <f aca="false">P113*$X113</f>
        <v>1128.4</v>
      </c>
      <c r="AN113" s="48" t="n">
        <f aca="false">Q113*$X113</f>
        <v>18.6</v>
      </c>
      <c r="AO113" s="48" t="n">
        <f aca="false">R113*$X113</f>
        <v>12.4</v>
      </c>
      <c r="AP113" s="48" t="n">
        <f aca="false">S113*$X113</f>
        <v>0</v>
      </c>
      <c r="AQ113" s="48" t="n">
        <f aca="false">T113*$X113</f>
        <v>0</v>
      </c>
      <c r="AR113" s="48" t="n">
        <f aca="false">U113*$X113</f>
        <v>62</v>
      </c>
      <c r="AS113" s="48" t="n">
        <f aca="false">V113*$X113</f>
        <v>1221.4</v>
      </c>
      <c r="AT113" s="48" t="n">
        <f aca="false">W113*$X113</f>
        <v>86.8</v>
      </c>
      <c r="AU113" s="48" t="n">
        <f aca="false">X113*$X113</f>
        <v>38.44</v>
      </c>
      <c r="AV113" s="48" t="n">
        <f aca="false">Y113*$X113</f>
        <v>6111.96</v>
      </c>
      <c r="AW113" s="48" t="n">
        <f aca="false">Z113*$X113</f>
        <v>0</v>
      </c>
      <c r="AX113" s="48" t="n">
        <f aca="false">AA113*$X113</f>
        <v>0</v>
      </c>
      <c r="AY113" s="48" t="n">
        <f aca="false">AB113*$X113</f>
        <v>1691.36</v>
      </c>
      <c r="AZ113" s="48" t="n">
        <f aca="false">AC113*$X113</f>
        <v>0</v>
      </c>
      <c r="BA113" s="1"/>
      <c r="BB113" s="1"/>
      <c r="BC113" s="1"/>
      <c r="BD113" s="1"/>
      <c r="BE113" s="1"/>
      <c r="BF113" s="1"/>
    </row>
    <row r="114" s="48" customFormat="true" ht="15" hidden="false" customHeight="true" outlineLevel="0" collapsed="false">
      <c r="A114" s="42" t="s">
        <v>183</v>
      </c>
      <c r="B114" s="42" t="n">
        <v>98</v>
      </c>
      <c r="C114" s="43"/>
      <c r="D114" s="44"/>
      <c r="E114" s="44"/>
      <c r="F114" s="44"/>
      <c r="G114" s="44"/>
      <c r="H114" s="44" t="n">
        <f aca="false">B114+D114+E114+F114+G114+C114</f>
        <v>98</v>
      </c>
      <c r="I114" s="45"/>
      <c r="J114" s="49"/>
      <c r="K114" s="49"/>
      <c r="L114" s="49"/>
      <c r="M114" s="49"/>
      <c r="N114" s="49"/>
      <c r="O114" s="49"/>
      <c r="P114" s="49" t="n">
        <v>98</v>
      </c>
      <c r="Q114" s="49"/>
      <c r="R114" s="49"/>
      <c r="S114" s="49"/>
      <c r="T114" s="49" t="n">
        <v>0</v>
      </c>
      <c r="U114" s="49" t="n">
        <v>0</v>
      </c>
      <c r="V114" s="47" t="n">
        <f aca="false">J114+K114+L114+M114+N114+O114+P114+Q114+R114+S114+T114+U114</f>
        <v>98</v>
      </c>
      <c r="W114" s="47" t="n">
        <f aca="false">H114-V114</f>
        <v>0</v>
      </c>
      <c r="X114" s="48" t="n">
        <v>9.3</v>
      </c>
      <c r="Y114" s="48" t="n">
        <f aca="false">B114*$X114</f>
        <v>911.4</v>
      </c>
      <c r="Z114" s="48" t="n">
        <f aca="false">C114*$X114</f>
        <v>0</v>
      </c>
      <c r="AA114" s="48" t="n">
        <f aca="false">D114*$X114</f>
        <v>0</v>
      </c>
      <c r="AB114" s="48" t="n">
        <f aca="false">E114*$X114</f>
        <v>0</v>
      </c>
      <c r="AC114" s="48" t="n">
        <f aca="false">F114*$X114</f>
        <v>0</v>
      </c>
      <c r="AD114" s="48" t="n">
        <f aca="false">G114*$X114</f>
        <v>0</v>
      </c>
      <c r="AE114" s="48" t="n">
        <f aca="false">H114*$X114</f>
        <v>911.4</v>
      </c>
      <c r="AF114" s="48" t="n">
        <f aca="false">I114*$X114</f>
        <v>0</v>
      </c>
      <c r="AG114" s="48" t="n">
        <f aca="false">J114*$X114</f>
        <v>0</v>
      </c>
      <c r="AH114" s="48" t="n">
        <f aca="false">K114*$X114</f>
        <v>0</v>
      </c>
      <c r="AI114" s="48" t="n">
        <f aca="false">L114*$X114</f>
        <v>0</v>
      </c>
      <c r="AJ114" s="48" t="n">
        <f aca="false">M114*$X114</f>
        <v>0</v>
      </c>
      <c r="AK114" s="48" t="n">
        <f aca="false">N114*$X114</f>
        <v>0</v>
      </c>
      <c r="AL114" s="48" t="n">
        <f aca="false">O114*$X114</f>
        <v>0</v>
      </c>
      <c r="AM114" s="48" t="n">
        <f aca="false">P114*$X114</f>
        <v>911.4</v>
      </c>
      <c r="AN114" s="48" t="n">
        <f aca="false">Q114*$X114</f>
        <v>0</v>
      </c>
      <c r="AO114" s="48" t="n">
        <f aca="false">R114*$X114</f>
        <v>0</v>
      </c>
      <c r="AP114" s="48" t="n">
        <f aca="false">S114*$X114</f>
        <v>0</v>
      </c>
      <c r="AQ114" s="48" t="n">
        <f aca="false">T114*$X114</f>
        <v>0</v>
      </c>
      <c r="AR114" s="48" t="n">
        <f aca="false">U114*$X114</f>
        <v>0</v>
      </c>
      <c r="AS114" s="48" t="n">
        <f aca="false">V114*$X114</f>
        <v>911.4</v>
      </c>
      <c r="AT114" s="48" t="n">
        <f aca="false">W114*$X114</f>
        <v>0</v>
      </c>
      <c r="AU114" s="48" t="n">
        <f aca="false">X114*$X114</f>
        <v>86.49</v>
      </c>
      <c r="AV114" s="48" t="n">
        <f aca="false">Y114*$X114</f>
        <v>8476.02</v>
      </c>
      <c r="AW114" s="48" t="n">
        <f aca="false">Z114*$X114</f>
        <v>0</v>
      </c>
      <c r="AX114" s="48" t="n">
        <f aca="false">AA114*$X114</f>
        <v>0</v>
      </c>
      <c r="AY114" s="48" t="n">
        <f aca="false">AB114*$X114</f>
        <v>0</v>
      </c>
      <c r="AZ114" s="48" t="n">
        <f aca="false">AC114*$X114</f>
        <v>0</v>
      </c>
      <c r="BA114" s="1"/>
      <c r="BB114" s="1"/>
      <c r="BC114" s="1"/>
      <c r="BD114" s="1"/>
      <c r="BE114" s="1"/>
      <c r="BF114" s="1"/>
    </row>
    <row r="115" s="48" customFormat="true" ht="15" hidden="false" customHeight="true" outlineLevel="0" collapsed="false">
      <c r="A115" s="42" t="s">
        <v>184</v>
      </c>
      <c r="B115" s="42" t="n">
        <v>24</v>
      </c>
      <c r="C115" s="43"/>
      <c r="D115" s="44"/>
      <c r="E115" s="44"/>
      <c r="F115" s="44"/>
      <c r="G115" s="44"/>
      <c r="H115" s="44" t="n">
        <f aca="false">B115+D115+E115+F115+G115+C115</f>
        <v>24</v>
      </c>
      <c r="I115" s="45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7" t="n">
        <f aca="false">J115+K115+L115+M115+N115+O115+P115+Q115+R115+S115+T115+U115</f>
        <v>0</v>
      </c>
      <c r="W115" s="47" t="n">
        <f aca="false">H115-V115</f>
        <v>24</v>
      </c>
      <c r="X115" s="48" t="n">
        <v>6.2</v>
      </c>
      <c r="Y115" s="48" t="n">
        <f aca="false">B115*$X115</f>
        <v>148.8</v>
      </c>
      <c r="Z115" s="48" t="n">
        <f aca="false">C115*$X115</f>
        <v>0</v>
      </c>
      <c r="AA115" s="48" t="n">
        <f aca="false">D115*$X115</f>
        <v>0</v>
      </c>
      <c r="AB115" s="48" t="n">
        <f aca="false">E115*$X115</f>
        <v>0</v>
      </c>
      <c r="AC115" s="48" t="n">
        <f aca="false">F115*$X115</f>
        <v>0</v>
      </c>
      <c r="AD115" s="48" t="n">
        <f aca="false">G115*$X115</f>
        <v>0</v>
      </c>
      <c r="AE115" s="48" t="n">
        <f aca="false">H115*$X115</f>
        <v>148.8</v>
      </c>
      <c r="AF115" s="48" t="n">
        <f aca="false">I115*$X115</f>
        <v>0</v>
      </c>
      <c r="AG115" s="48" t="n">
        <f aca="false">J115*$X115</f>
        <v>0</v>
      </c>
      <c r="AH115" s="48" t="n">
        <f aca="false">K115*$X115</f>
        <v>0</v>
      </c>
      <c r="AI115" s="48" t="n">
        <f aca="false">L115*$X115</f>
        <v>0</v>
      </c>
      <c r="AJ115" s="48" t="n">
        <f aca="false">M115*$X115</f>
        <v>0</v>
      </c>
      <c r="AK115" s="48" t="n">
        <f aca="false">N115*$X115</f>
        <v>0</v>
      </c>
      <c r="AL115" s="48" t="n">
        <f aca="false">O115*$X115</f>
        <v>0</v>
      </c>
      <c r="AM115" s="48" t="n">
        <f aca="false">P115*$X115</f>
        <v>0</v>
      </c>
      <c r="AN115" s="48" t="n">
        <f aca="false">Q115*$X115</f>
        <v>0</v>
      </c>
      <c r="AO115" s="48" t="n">
        <f aca="false">R115*$X115</f>
        <v>0</v>
      </c>
      <c r="AP115" s="48" t="n">
        <f aca="false">S115*$X115</f>
        <v>0</v>
      </c>
      <c r="AQ115" s="48" t="n">
        <f aca="false">T115*$X115</f>
        <v>0</v>
      </c>
      <c r="AR115" s="48" t="n">
        <f aca="false">U115*$X115</f>
        <v>0</v>
      </c>
      <c r="AS115" s="48" t="n">
        <f aca="false">V115*$X115</f>
        <v>0</v>
      </c>
      <c r="AT115" s="48" t="n">
        <f aca="false">W115*$X115</f>
        <v>148.8</v>
      </c>
      <c r="AU115" s="48" t="n">
        <f aca="false">X115*$X115</f>
        <v>38.44</v>
      </c>
      <c r="AV115" s="48" t="n">
        <f aca="false">Y115*$X115</f>
        <v>922.56</v>
      </c>
      <c r="AW115" s="48" t="n">
        <f aca="false">Z115*$X115</f>
        <v>0</v>
      </c>
      <c r="AX115" s="48" t="n">
        <f aca="false">AA115*$X115</f>
        <v>0</v>
      </c>
      <c r="AY115" s="48" t="n">
        <f aca="false">AB115*$X115</f>
        <v>0</v>
      </c>
      <c r="AZ115" s="48" t="n">
        <f aca="false">AC115*$X115</f>
        <v>0</v>
      </c>
      <c r="BA115" s="1"/>
      <c r="BB115" s="1"/>
      <c r="BC115" s="1"/>
      <c r="BD115" s="1"/>
      <c r="BE115" s="1"/>
      <c r="BF115" s="1"/>
    </row>
    <row r="116" s="48" customFormat="true" ht="15" hidden="false" customHeight="true" outlineLevel="0" collapsed="false">
      <c r="A116" s="42" t="s">
        <v>185</v>
      </c>
      <c r="B116" s="42" t="n">
        <v>201</v>
      </c>
      <c r="C116" s="43"/>
      <c r="D116" s="44"/>
      <c r="E116" s="44"/>
      <c r="F116" s="44"/>
      <c r="G116" s="44"/>
      <c r="H116" s="44" t="n">
        <f aca="false">B116+D116+E116+F116+G116+C116</f>
        <v>201</v>
      </c>
      <c r="I116" s="45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7" t="n">
        <f aca="false">J116+K116+L116+M116+N116+O116+P116+Q116+R116+S116+T116+U116</f>
        <v>0</v>
      </c>
      <c r="W116" s="47" t="n">
        <f aca="false">H116-V116</f>
        <v>201</v>
      </c>
      <c r="X116" s="48" t="n">
        <v>9.3</v>
      </c>
      <c r="Y116" s="48" t="n">
        <f aca="false">B116*$X116</f>
        <v>1869.3</v>
      </c>
      <c r="Z116" s="48" t="n">
        <f aca="false">C116*$X116</f>
        <v>0</v>
      </c>
      <c r="AA116" s="48" t="n">
        <f aca="false">D116*$X116</f>
        <v>0</v>
      </c>
      <c r="AB116" s="48" t="n">
        <f aca="false">E116*$X116</f>
        <v>0</v>
      </c>
      <c r="AC116" s="48" t="n">
        <f aca="false">F116*$X116</f>
        <v>0</v>
      </c>
      <c r="AD116" s="48" t="n">
        <f aca="false">G116*$X116</f>
        <v>0</v>
      </c>
      <c r="AE116" s="48" t="n">
        <f aca="false">H116*$X116</f>
        <v>1869.3</v>
      </c>
      <c r="AF116" s="48" t="n">
        <f aca="false">I116*$X116</f>
        <v>0</v>
      </c>
      <c r="AG116" s="48" t="n">
        <f aca="false">J116*$X116</f>
        <v>0</v>
      </c>
      <c r="AH116" s="48" t="n">
        <f aca="false">K116*$X116</f>
        <v>0</v>
      </c>
      <c r="AI116" s="48" t="n">
        <f aca="false">L116*$X116</f>
        <v>0</v>
      </c>
      <c r="AJ116" s="48" t="n">
        <f aca="false">M116*$X116</f>
        <v>0</v>
      </c>
      <c r="AK116" s="48" t="n">
        <f aca="false">N116*$X116</f>
        <v>0</v>
      </c>
      <c r="AL116" s="48" t="n">
        <f aca="false">O116*$X116</f>
        <v>0</v>
      </c>
      <c r="AM116" s="48" t="n">
        <f aca="false">P116*$X116</f>
        <v>0</v>
      </c>
      <c r="AN116" s="48" t="n">
        <f aca="false">Q116*$X116</f>
        <v>0</v>
      </c>
      <c r="AO116" s="48" t="n">
        <f aca="false">R116*$X116</f>
        <v>0</v>
      </c>
      <c r="AP116" s="48" t="n">
        <f aca="false">S116*$X116</f>
        <v>0</v>
      </c>
      <c r="AQ116" s="48" t="n">
        <f aca="false">T116*$X116</f>
        <v>0</v>
      </c>
      <c r="AR116" s="48" t="n">
        <f aca="false">U116*$X116</f>
        <v>0</v>
      </c>
      <c r="AS116" s="48" t="n">
        <f aca="false">V116*$X116</f>
        <v>0</v>
      </c>
      <c r="AT116" s="48" t="n">
        <f aca="false">W116*$X116</f>
        <v>1869.3</v>
      </c>
      <c r="AU116" s="48" t="n">
        <f aca="false">X116*$X116</f>
        <v>86.49</v>
      </c>
      <c r="AV116" s="48" t="n">
        <f aca="false">Y116*$X116</f>
        <v>17384.49</v>
      </c>
      <c r="AW116" s="48" t="n">
        <f aca="false">Z116*$X116</f>
        <v>0</v>
      </c>
      <c r="AX116" s="48" t="n">
        <f aca="false">AA116*$X116</f>
        <v>0</v>
      </c>
      <c r="AY116" s="48" t="n">
        <f aca="false">AB116*$X116</f>
        <v>0</v>
      </c>
      <c r="AZ116" s="48" t="n">
        <f aca="false">AC116*$X116</f>
        <v>0</v>
      </c>
      <c r="BA116" s="1"/>
      <c r="BB116" s="1"/>
      <c r="BC116" s="1"/>
      <c r="BD116" s="1"/>
      <c r="BE116" s="1"/>
      <c r="BF116" s="1"/>
    </row>
    <row r="117" s="48" customFormat="true" ht="15" hidden="false" customHeight="true" outlineLevel="0" collapsed="false">
      <c r="A117" s="42" t="s">
        <v>186</v>
      </c>
      <c r="B117" s="42" t="n">
        <v>96</v>
      </c>
      <c r="C117" s="43"/>
      <c r="D117" s="44"/>
      <c r="E117" s="44"/>
      <c r="F117" s="44"/>
      <c r="G117" s="44"/>
      <c r="H117" s="44" t="n">
        <f aca="false">B117+D117+E117+F117+G117+C117</f>
        <v>96</v>
      </c>
      <c r="I117" s="45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7" t="n">
        <f aca="false">J117+K117+L117+M117+N117+O117+P117+Q117+R117+S117+T117+U117</f>
        <v>0</v>
      </c>
      <c r="W117" s="47" t="n">
        <f aca="false">H117-V117</f>
        <v>96</v>
      </c>
      <c r="X117" s="48" t="n">
        <v>18.6</v>
      </c>
      <c r="Y117" s="48" t="n">
        <f aca="false">B117*$X117</f>
        <v>1785.6</v>
      </c>
      <c r="Z117" s="48" t="n">
        <f aca="false">C117*$X117</f>
        <v>0</v>
      </c>
      <c r="AA117" s="48" t="n">
        <f aca="false">D117*$X117</f>
        <v>0</v>
      </c>
      <c r="AB117" s="48" t="n">
        <f aca="false">E117*$X117</f>
        <v>0</v>
      </c>
      <c r="AC117" s="48" t="n">
        <f aca="false">F117*$X117</f>
        <v>0</v>
      </c>
      <c r="AD117" s="48" t="n">
        <f aca="false">G117*$X117</f>
        <v>0</v>
      </c>
      <c r="AE117" s="48" t="n">
        <f aca="false">H117*$X117</f>
        <v>1785.6</v>
      </c>
      <c r="AF117" s="48" t="n">
        <f aca="false">I117*$X117</f>
        <v>0</v>
      </c>
      <c r="AG117" s="48" t="n">
        <f aca="false">J117*$X117</f>
        <v>0</v>
      </c>
      <c r="AH117" s="48" t="n">
        <f aca="false">K117*$X117</f>
        <v>0</v>
      </c>
      <c r="AI117" s="48" t="n">
        <f aca="false">L117*$X117</f>
        <v>0</v>
      </c>
      <c r="AJ117" s="48" t="n">
        <f aca="false">M117*$X117</f>
        <v>0</v>
      </c>
      <c r="AK117" s="48" t="n">
        <f aca="false">N117*$X117</f>
        <v>0</v>
      </c>
      <c r="AL117" s="48" t="n">
        <f aca="false">O117*$X117</f>
        <v>0</v>
      </c>
      <c r="AM117" s="48" t="n">
        <f aca="false">P117*$X117</f>
        <v>0</v>
      </c>
      <c r="AN117" s="48" t="n">
        <f aca="false">Q117*$X117</f>
        <v>0</v>
      </c>
      <c r="AO117" s="48" t="n">
        <f aca="false">R117*$X117</f>
        <v>0</v>
      </c>
      <c r="AP117" s="48" t="n">
        <f aca="false">S117*$X117</f>
        <v>0</v>
      </c>
      <c r="AQ117" s="48" t="n">
        <f aca="false">T117*$X117</f>
        <v>0</v>
      </c>
      <c r="AR117" s="48" t="n">
        <f aca="false">U117*$X117</f>
        <v>0</v>
      </c>
      <c r="AS117" s="48" t="n">
        <f aca="false">V117*$X117</f>
        <v>0</v>
      </c>
      <c r="AT117" s="48" t="n">
        <f aca="false">W117*$X117</f>
        <v>1785.6</v>
      </c>
      <c r="AU117" s="48" t="n">
        <f aca="false">X117*$X117</f>
        <v>345.96</v>
      </c>
      <c r="AV117" s="48" t="n">
        <f aca="false">Y117*$X117</f>
        <v>33212.16</v>
      </c>
      <c r="AW117" s="48" t="n">
        <f aca="false">Z117*$X117</f>
        <v>0</v>
      </c>
      <c r="AX117" s="48" t="n">
        <f aca="false">AA117*$X117</f>
        <v>0</v>
      </c>
      <c r="AY117" s="48" t="n">
        <f aca="false">AB117*$X117</f>
        <v>0</v>
      </c>
      <c r="AZ117" s="48" t="n">
        <f aca="false">AC117*$X117</f>
        <v>0</v>
      </c>
      <c r="BA117" s="1"/>
      <c r="BB117" s="1"/>
      <c r="BC117" s="1"/>
      <c r="BD117" s="1"/>
      <c r="BE117" s="1"/>
      <c r="BF117" s="1"/>
    </row>
    <row r="118" s="48" customFormat="true" ht="15" hidden="false" customHeight="true" outlineLevel="0" collapsed="false">
      <c r="A118" s="42" t="s">
        <v>187</v>
      </c>
      <c r="B118" s="42" t="n">
        <v>7</v>
      </c>
      <c r="C118" s="43"/>
      <c r="D118" s="44"/>
      <c r="E118" s="44"/>
      <c r="F118" s="44"/>
      <c r="G118" s="44" t="n">
        <v>0</v>
      </c>
      <c r="H118" s="44" t="n">
        <f aca="false">B118+D118+E118+F118+G118+C118</f>
        <v>7</v>
      </c>
      <c r="I118" s="45"/>
      <c r="J118" s="49"/>
      <c r="K118" s="49"/>
      <c r="L118" s="49"/>
      <c r="M118" s="49"/>
      <c r="N118" s="49"/>
      <c r="O118" s="49"/>
      <c r="P118" s="49" t="n">
        <v>0</v>
      </c>
      <c r="Q118" s="49"/>
      <c r="R118" s="49"/>
      <c r="S118" s="49" t="n">
        <v>26</v>
      </c>
      <c r="T118" s="49" t="n">
        <v>20</v>
      </c>
      <c r="U118" s="49"/>
      <c r="V118" s="47" t="n">
        <f aca="false">J118+K118+L118+M118+N118+O118+P118+Q118+R118+S118+T118+U118</f>
        <v>46</v>
      </c>
      <c r="W118" s="47" t="n">
        <f aca="false">H118-V118</f>
        <v>-39</v>
      </c>
      <c r="X118" s="48" t="n">
        <v>5.5</v>
      </c>
      <c r="Y118" s="48" t="n">
        <f aca="false">B118*$X118</f>
        <v>38.5</v>
      </c>
      <c r="Z118" s="48" t="n">
        <f aca="false">C118*$X118</f>
        <v>0</v>
      </c>
      <c r="AA118" s="48" t="n">
        <f aca="false">D118*$X118</f>
        <v>0</v>
      </c>
      <c r="AB118" s="48" t="n">
        <f aca="false">E118*$X118</f>
        <v>0</v>
      </c>
      <c r="AC118" s="48" t="n">
        <f aca="false">F118*$X118</f>
        <v>0</v>
      </c>
      <c r="AD118" s="48" t="n">
        <f aca="false">G118*$X118</f>
        <v>0</v>
      </c>
      <c r="AE118" s="48" t="n">
        <f aca="false">H118*$X118</f>
        <v>38.5</v>
      </c>
      <c r="AF118" s="48" t="n">
        <f aca="false">I118*$X118</f>
        <v>0</v>
      </c>
      <c r="AG118" s="48" t="n">
        <f aca="false">J118*$X118</f>
        <v>0</v>
      </c>
      <c r="AH118" s="48" t="n">
        <f aca="false">K118*$X118</f>
        <v>0</v>
      </c>
      <c r="AI118" s="48" t="n">
        <f aca="false">L118*$X118</f>
        <v>0</v>
      </c>
      <c r="AJ118" s="48" t="n">
        <f aca="false">M118*$X118</f>
        <v>0</v>
      </c>
      <c r="AK118" s="48" t="n">
        <f aca="false">N118*$X118</f>
        <v>0</v>
      </c>
      <c r="AL118" s="48" t="n">
        <f aca="false">O118*$X118</f>
        <v>0</v>
      </c>
      <c r="AM118" s="48" t="n">
        <f aca="false">P118*$X118</f>
        <v>0</v>
      </c>
      <c r="AN118" s="48" t="n">
        <f aca="false">Q118*$X118</f>
        <v>0</v>
      </c>
      <c r="AO118" s="48" t="n">
        <f aca="false">R118*$X118</f>
        <v>0</v>
      </c>
      <c r="AP118" s="48" t="n">
        <f aca="false">S118*$X118</f>
        <v>143</v>
      </c>
      <c r="AQ118" s="48" t="n">
        <f aca="false">T118*$X118</f>
        <v>110</v>
      </c>
      <c r="AR118" s="48" t="n">
        <f aca="false">U118*$X118</f>
        <v>0</v>
      </c>
      <c r="AS118" s="48" t="n">
        <f aca="false">V118*$X118</f>
        <v>253</v>
      </c>
      <c r="AT118" s="48" t="n">
        <f aca="false">W118*$X118</f>
        <v>-214.5</v>
      </c>
      <c r="AU118" s="48" t="n">
        <f aca="false">X118*$X118</f>
        <v>30.25</v>
      </c>
      <c r="AV118" s="48" t="n">
        <f aca="false">Y118*$X118</f>
        <v>211.75</v>
      </c>
      <c r="AW118" s="48" t="n">
        <f aca="false">Z118*$X118</f>
        <v>0</v>
      </c>
      <c r="AX118" s="48" t="n">
        <f aca="false">AA118*$X118</f>
        <v>0</v>
      </c>
      <c r="AY118" s="48" t="n">
        <f aca="false">AB118*$X118</f>
        <v>0</v>
      </c>
      <c r="AZ118" s="48" t="n">
        <f aca="false">AC118*$X118</f>
        <v>0</v>
      </c>
      <c r="BA118" s="1"/>
      <c r="BB118" s="1"/>
      <c r="BC118" s="1"/>
      <c r="BD118" s="1"/>
      <c r="BE118" s="1"/>
      <c r="BF118" s="1"/>
    </row>
    <row r="119" s="48" customFormat="true" ht="15" hidden="false" customHeight="true" outlineLevel="0" collapsed="false">
      <c r="A119" s="42" t="s">
        <v>188</v>
      </c>
      <c r="B119" s="42" t="n">
        <v>0</v>
      </c>
      <c r="C119" s="43"/>
      <c r="D119" s="44"/>
      <c r="E119" s="44"/>
      <c r="F119" s="44"/>
      <c r="G119" s="44"/>
      <c r="H119" s="44" t="n">
        <f aca="false">B119+D119+E119+F119+G119+C119</f>
        <v>0</v>
      </c>
      <c r="I119" s="45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7" t="n">
        <f aca="false">J119+K119+L119+M119+N119+O119+P119+Q119+R119+S119+T119+U119</f>
        <v>0</v>
      </c>
      <c r="W119" s="47" t="n">
        <f aca="false">H119-V119</f>
        <v>0</v>
      </c>
      <c r="X119" s="48" t="n">
        <v>5.5</v>
      </c>
      <c r="Y119" s="48" t="n">
        <f aca="false">B119*$X119</f>
        <v>0</v>
      </c>
      <c r="Z119" s="48" t="n">
        <f aca="false">C119*$X119</f>
        <v>0</v>
      </c>
      <c r="AA119" s="48" t="n">
        <f aca="false">D119*$X119</f>
        <v>0</v>
      </c>
      <c r="AB119" s="48" t="n">
        <f aca="false">E119*$X119</f>
        <v>0</v>
      </c>
      <c r="AC119" s="48" t="n">
        <f aca="false">F119*$X119</f>
        <v>0</v>
      </c>
      <c r="AD119" s="48" t="n">
        <f aca="false">G119*$X119</f>
        <v>0</v>
      </c>
      <c r="AE119" s="48" t="n">
        <f aca="false">H119*$X119</f>
        <v>0</v>
      </c>
      <c r="AF119" s="48" t="n">
        <f aca="false">I119*$X119</f>
        <v>0</v>
      </c>
      <c r="AG119" s="48" t="n">
        <f aca="false">J119*$X119</f>
        <v>0</v>
      </c>
      <c r="AH119" s="48" t="n">
        <f aca="false">K119*$X119</f>
        <v>0</v>
      </c>
      <c r="AI119" s="48" t="n">
        <f aca="false">L119*$X119</f>
        <v>0</v>
      </c>
      <c r="AJ119" s="48" t="n">
        <f aca="false">M119*$X119</f>
        <v>0</v>
      </c>
      <c r="AK119" s="48" t="n">
        <f aca="false">N119*$X119</f>
        <v>0</v>
      </c>
      <c r="AL119" s="48" t="n">
        <f aca="false">O119*$X119</f>
        <v>0</v>
      </c>
      <c r="AM119" s="48" t="n">
        <f aca="false">P119*$X119</f>
        <v>0</v>
      </c>
      <c r="AN119" s="48" t="n">
        <f aca="false">Q119*$X119</f>
        <v>0</v>
      </c>
      <c r="AO119" s="48" t="n">
        <f aca="false">R119*$X119</f>
        <v>0</v>
      </c>
      <c r="AP119" s="48" t="n">
        <f aca="false">S119*$X119</f>
        <v>0</v>
      </c>
      <c r="AQ119" s="48" t="n">
        <f aca="false">T119*$X119</f>
        <v>0</v>
      </c>
      <c r="AR119" s="48" t="n">
        <f aca="false">U119*$X119</f>
        <v>0</v>
      </c>
      <c r="AS119" s="48" t="n">
        <f aca="false">V119*$X119</f>
        <v>0</v>
      </c>
      <c r="AT119" s="48" t="n">
        <f aca="false">W119*$X119</f>
        <v>0</v>
      </c>
      <c r="AU119" s="48" t="n">
        <f aca="false">X119*$X119</f>
        <v>30.25</v>
      </c>
      <c r="AV119" s="48" t="n">
        <f aca="false">Y119*$X119</f>
        <v>0</v>
      </c>
      <c r="AW119" s="48" t="n">
        <f aca="false">Z119*$X119</f>
        <v>0</v>
      </c>
      <c r="AX119" s="48" t="n">
        <f aca="false">AA119*$X119</f>
        <v>0</v>
      </c>
      <c r="AY119" s="48" t="n">
        <f aca="false">AB119*$X119</f>
        <v>0</v>
      </c>
      <c r="AZ119" s="48" t="n">
        <f aca="false">AC119*$X119</f>
        <v>0</v>
      </c>
      <c r="BA119" s="1"/>
      <c r="BB119" s="1"/>
      <c r="BC119" s="1"/>
      <c r="BD119" s="1"/>
      <c r="BE119" s="1"/>
      <c r="BF119" s="1"/>
    </row>
    <row r="120" s="48" customFormat="true" ht="15" hidden="false" customHeight="true" outlineLevel="0" collapsed="false">
      <c r="A120" s="42" t="s">
        <v>189</v>
      </c>
      <c r="B120" s="42" t="n">
        <v>0</v>
      </c>
      <c r="C120" s="43"/>
      <c r="D120" s="44"/>
      <c r="E120" s="44" t="n">
        <v>70</v>
      </c>
      <c r="F120" s="44"/>
      <c r="G120" s="44"/>
      <c r="H120" s="44" t="n">
        <f aca="false">B120+D120+E120+F120+G120+C120</f>
        <v>70</v>
      </c>
      <c r="I120" s="45"/>
      <c r="J120" s="49"/>
      <c r="K120" s="49"/>
      <c r="L120" s="49"/>
      <c r="M120" s="49"/>
      <c r="N120" s="49" t="n">
        <v>30</v>
      </c>
      <c r="O120" s="49"/>
      <c r="P120" s="49" t="n">
        <v>0</v>
      </c>
      <c r="Q120" s="49"/>
      <c r="R120" s="49" t="n">
        <v>5</v>
      </c>
      <c r="S120" s="49"/>
      <c r="T120" s="49" t="n">
        <v>15</v>
      </c>
      <c r="U120" s="49" t="n">
        <v>123</v>
      </c>
      <c r="V120" s="47" t="n">
        <f aca="false">J120+K120+L120+M120+N120+O120+P120+Q120+R120+S120+T120+U120</f>
        <v>173</v>
      </c>
      <c r="W120" s="47" t="n">
        <f aca="false">H120-V120</f>
        <v>-103</v>
      </c>
      <c r="X120" s="48" t="n">
        <v>8.25</v>
      </c>
      <c r="Y120" s="48" t="n">
        <f aca="false">B120*$X120</f>
        <v>0</v>
      </c>
      <c r="Z120" s="48" t="n">
        <f aca="false">C120*$X120</f>
        <v>0</v>
      </c>
      <c r="AA120" s="48" t="n">
        <f aca="false">D120*$X120</f>
        <v>0</v>
      </c>
      <c r="AB120" s="48" t="n">
        <f aca="false">E120*$X120</f>
        <v>577.5</v>
      </c>
      <c r="AC120" s="48" t="n">
        <f aca="false">F120*$X120</f>
        <v>0</v>
      </c>
      <c r="AD120" s="48" t="n">
        <f aca="false">G120*$X120</f>
        <v>0</v>
      </c>
      <c r="AE120" s="48" t="n">
        <f aca="false">H120*$X120</f>
        <v>577.5</v>
      </c>
      <c r="AF120" s="48" t="n">
        <f aca="false">I120*$X120</f>
        <v>0</v>
      </c>
      <c r="AG120" s="48" t="n">
        <f aca="false">J120*$X120</f>
        <v>0</v>
      </c>
      <c r="AH120" s="48" t="n">
        <f aca="false">K120*$X120</f>
        <v>0</v>
      </c>
      <c r="AI120" s="48" t="n">
        <f aca="false">L120*$X120</f>
        <v>0</v>
      </c>
      <c r="AJ120" s="48" t="n">
        <f aca="false">M120*$X120</f>
        <v>0</v>
      </c>
      <c r="AK120" s="48" t="n">
        <f aca="false">N120*$X120</f>
        <v>247.5</v>
      </c>
      <c r="AL120" s="48" t="n">
        <f aca="false">O120*$X120</f>
        <v>0</v>
      </c>
      <c r="AM120" s="48" t="n">
        <f aca="false">P120*$X120</f>
        <v>0</v>
      </c>
      <c r="AN120" s="48" t="n">
        <f aca="false">Q120*$X120</f>
        <v>0</v>
      </c>
      <c r="AO120" s="48" t="n">
        <f aca="false">R120*$X120</f>
        <v>41.25</v>
      </c>
      <c r="AP120" s="48" t="n">
        <f aca="false">S120*$X120</f>
        <v>0</v>
      </c>
      <c r="AQ120" s="48" t="n">
        <f aca="false">T120*$X120</f>
        <v>123.75</v>
      </c>
      <c r="AR120" s="48" t="n">
        <f aca="false">U120*$X120</f>
        <v>1014.75</v>
      </c>
      <c r="AS120" s="48" t="n">
        <f aca="false">V120*$X120</f>
        <v>1427.25</v>
      </c>
      <c r="AT120" s="48" t="n">
        <f aca="false">W120*$X120</f>
        <v>-849.75</v>
      </c>
      <c r="AU120" s="48" t="n">
        <f aca="false">X120*$X120</f>
        <v>68.0625</v>
      </c>
      <c r="AV120" s="48" t="n">
        <f aca="false">Y120*$X120</f>
        <v>0</v>
      </c>
      <c r="AW120" s="48" t="n">
        <f aca="false">Z120*$X120</f>
        <v>0</v>
      </c>
      <c r="AX120" s="48" t="n">
        <f aca="false">AA120*$X120</f>
        <v>0</v>
      </c>
      <c r="AY120" s="48" t="n">
        <f aca="false">AB120*$X120</f>
        <v>4764.375</v>
      </c>
      <c r="AZ120" s="48" t="n">
        <f aca="false">AC120*$X120</f>
        <v>0</v>
      </c>
      <c r="BA120" s="1"/>
      <c r="BB120" s="1"/>
      <c r="BC120" s="1"/>
      <c r="BD120" s="1"/>
      <c r="BE120" s="1"/>
      <c r="BF120" s="1"/>
    </row>
    <row r="121" s="48" customFormat="true" ht="15" hidden="false" customHeight="true" outlineLevel="0" collapsed="false">
      <c r="A121" s="42" t="s">
        <v>190</v>
      </c>
      <c r="B121" s="42" t="n">
        <v>0</v>
      </c>
      <c r="C121" s="43"/>
      <c r="D121" s="44"/>
      <c r="E121" s="44" t="n">
        <v>2</v>
      </c>
      <c r="F121" s="44"/>
      <c r="G121" s="44"/>
      <c r="H121" s="44" t="n">
        <f aca="false">B121+D121+E121+F121+G121+C121</f>
        <v>2</v>
      </c>
      <c r="I121" s="45"/>
      <c r="J121" s="49"/>
      <c r="K121" s="49"/>
      <c r="L121" s="49"/>
      <c r="M121" s="49"/>
      <c r="N121" s="49" t="n">
        <v>0</v>
      </c>
      <c r="O121" s="49"/>
      <c r="P121" s="49"/>
      <c r="Q121" s="49"/>
      <c r="R121" s="49"/>
      <c r="S121" s="49"/>
      <c r="T121" s="49"/>
      <c r="U121" s="49"/>
      <c r="V121" s="47" t="n">
        <f aca="false">J121+K121+L121+M121+N121+O121+P121+Q121+R121+S121+T121+U121</f>
        <v>0</v>
      </c>
      <c r="W121" s="47" t="n">
        <f aca="false">H121-V121</f>
        <v>2</v>
      </c>
      <c r="X121" s="48" t="n">
        <v>8.25</v>
      </c>
      <c r="Y121" s="48" t="n">
        <f aca="false">B121*$X121</f>
        <v>0</v>
      </c>
      <c r="Z121" s="48" t="n">
        <f aca="false">C121*$X121</f>
        <v>0</v>
      </c>
      <c r="AA121" s="48" t="n">
        <f aca="false">D121*$X121</f>
        <v>0</v>
      </c>
      <c r="AB121" s="48" t="n">
        <f aca="false">E121*$X121</f>
        <v>16.5</v>
      </c>
      <c r="AC121" s="48" t="n">
        <f aca="false">F121*$X121</f>
        <v>0</v>
      </c>
      <c r="AD121" s="48" t="n">
        <f aca="false">G121*$X121</f>
        <v>0</v>
      </c>
      <c r="AE121" s="48" t="n">
        <f aca="false">H121*$X121</f>
        <v>16.5</v>
      </c>
      <c r="AF121" s="48" t="n">
        <f aca="false">I121*$X121</f>
        <v>0</v>
      </c>
      <c r="AG121" s="48" t="n">
        <f aca="false">J121*$X121</f>
        <v>0</v>
      </c>
      <c r="AH121" s="48" t="n">
        <f aca="false">K121*$X121</f>
        <v>0</v>
      </c>
      <c r="AI121" s="48" t="n">
        <f aca="false">L121*$X121</f>
        <v>0</v>
      </c>
      <c r="AJ121" s="48" t="n">
        <f aca="false">M121*$X121</f>
        <v>0</v>
      </c>
      <c r="AK121" s="48" t="n">
        <f aca="false">N121*$X121</f>
        <v>0</v>
      </c>
      <c r="AL121" s="48" t="n">
        <f aca="false">O121*$X121</f>
        <v>0</v>
      </c>
      <c r="AM121" s="48" t="n">
        <f aca="false">P121*$X121</f>
        <v>0</v>
      </c>
      <c r="AN121" s="48" t="n">
        <f aca="false">Q121*$X121</f>
        <v>0</v>
      </c>
      <c r="AO121" s="48" t="n">
        <f aca="false">R121*$X121</f>
        <v>0</v>
      </c>
      <c r="AP121" s="48" t="n">
        <f aca="false">S121*$X121</f>
        <v>0</v>
      </c>
      <c r="AQ121" s="48" t="n">
        <f aca="false">T121*$X121</f>
        <v>0</v>
      </c>
      <c r="AR121" s="48" t="n">
        <f aca="false">U121*$X121</f>
        <v>0</v>
      </c>
      <c r="AS121" s="48" t="n">
        <f aca="false">V121*$X121</f>
        <v>0</v>
      </c>
      <c r="AT121" s="48" t="n">
        <f aca="false">W121*$X121</f>
        <v>16.5</v>
      </c>
      <c r="AU121" s="48" t="n">
        <f aca="false">X121*$X121</f>
        <v>68.0625</v>
      </c>
      <c r="AV121" s="48" t="n">
        <f aca="false">Y121*$X121</f>
        <v>0</v>
      </c>
      <c r="AW121" s="48" t="n">
        <f aca="false">Z121*$X121</f>
        <v>0</v>
      </c>
      <c r="AX121" s="48" t="n">
        <f aca="false">AA121*$X121</f>
        <v>0</v>
      </c>
      <c r="AY121" s="48" t="n">
        <f aca="false">AB121*$X121</f>
        <v>136.125</v>
      </c>
      <c r="AZ121" s="48" t="n">
        <f aca="false">AC121*$X121</f>
        <v>0</v>
      </c>
      <c r="BA121" s="1"/>
      <c r="BB121" s="1"/>
      <c r="BC121" s="1"/>
      <c r="BD121" s="1"/>
      <c r="BE121" s="1"/>
      <c r="BF121" s="1"/>
    </row>
    <row r="122" s="48" customFormat="true" ht="15" hidden="false" customHeight="true" outlineLevel="0" collapsed="false">
      <c r="A122" s="42" t="s">
        <v>191</v>
      </c>
      <c r="B122" s="42" t="n">
        <v>380</v>
      </c>
      <c r="C122" s="43"/>
      <c r="D122" s="44"/>
      <c r="E122" s="44" t="n">
        <v>556</v>
      </c>
      <c r="F122" s="44"/>
      <c r="G122" s="44" t="n">
        <v>48</v>
      </c>
      <c r="H122" s="44" t="n">
        <f aca="false">B122+D122+E122+F122+G122+C122</f>
        <v>984</v>
      </c>
      <c r="I122" s="45"/>
      <c r="J122" s="49"/>
      <c r="K122" s="49" t="n">
        <v>137</v>
      </c>
      <c r="L122" s="49"/>
      <c r="M122" s="49" t="n">
        <v>336</v>
      </c>
      <c r="N122" s="49" t="n">
        <v>199</v>
      </c>
      <c r="O122" s="49" t="n">
        <v>7</v>
      </c>
      <c r="P122" s="49" t="n">
        <v>0</v>
      </c>
      <c r="Q122" s="49" t="n">
        <v>211</v>
      </c>
      <c r="R122" s="49" t="n">
        <v>110</v>
      </c>
      <c r="S122" s="49"/>
      <c r="T122" s="49" t="n">
        <v>9</v>
      </c>
      <c r="U122" s="49" t="n">
        <v>21</v>
      </c>
      <c r="V122" s="47" t="n">
        <f aca="false">J122+K122+L122+M122+N122+O122+P122+Q122+R122+S122+T122+U122</f>
        <v>1030</v>
      </c>
      <c r="W122" s="47" t="n">
        <f aca="false">H122-V122</f>
        <v>-46</v>
      </c>
      <c r="X122" s="48" t="n">
        <v>11</v>
      </c>
      <c r="Y122" s="48" t="n">
        <f aca="false">B122*$X122</f>
        <v>4180</v>
      </c>
      <c r="Z122" s="48" t="n">
        <f aca="false">C122*$X122</f>
        <v>0</v>
      </c>
      <c r="AA122" s="48" t="n">
        <f aca="false">D122*$X122</f>
        <v>0</v>
      </c>
      <c r="AB122" s="48" t="n">
        <f aca="false">E122*$X122</f>
        <v>6116</v>
      </c>
      <c r="AC122" s="48" t="n">
        <f aca="false">F122*$X122</f>
        <v>0</v>
      </c>
      <c r="AD122" s="48" t="n">
        <f aca="false">G122*$X122</f>
        <v>528</v>
      </c>
      <c r="AE122" s="48" t="n">
        <f aca="false">H122*$X122</f>
        <v>10824</v>
      </c>
      <c r="AF122" s="48" t="n">
        <f aca="false">I122*$X122</f>
        <v>0</v>
      </c>
      <c r="AG122" s="48" t="n">
        <f aca="false">J122*$X122</f>
        <v>0</v>
      </c>
      <c r="AH122" s="48" t="n">
        <f aca="false">K122*$X122</f>
        <v>1507</v>
      </c>
      <c r="AI122" s="48" t="n">
        <f aca="false">L122*$X122</f>
        <v>0</v>
      </c>
      <c r="AJ122" s="48" t="n">
        <f aca="false">M122*$X122</f>
        <v>3696</v>
      </c>
      <c r="AK122" s="48" t="n">
        <f aca="false">N122*$X122</f>
        <v>2189</v>
      </c>
      <c r="AL122" s="48" t="n">
        <f aca="false">O122*$X122</f>
        <v>77</v>
      </c>
      <c r="AM122" s="48" t="n">
        <f aca="false">P122*$X122</f>
        <v>0</v>
      </c>
      <c r="AN122" s="48" t="n">
        <f aca="false">Q122*$X122</f>
        <v>2321</v>
      </c>
      <c r="AO122" s="48" t="n">
        <f aca="false">R122*$X122</f>
        <v>1210</v>
      </c>
      <c r="AP122" s="48" t="n">
        <f aca="false">S122*$X122</f>
        <v>0</v>
      </c>
      <c r="AQ122" s="48" t="n">
        <f aca="false">T122*$X122</f>
        <v>99</v>
      </c>
      <c r="AR122" s="48" t="n">
        <f aca="false">U122*$X122</f>
        <v>231</v>
      </c>
      <c r="AS122" s="48" t="n">
        <f aca="false">V122*$X122</f>
        <v>11330</v>
      </c>
      <c r="AT122" s="48" t="n">
        <f aca="false">W122*$X122</f>
        <v>-506</v>
      </c>
      <c r="AU122" s="48" t="n">
        <f aca="false">X122*$X122</f>
        <v>121</v>
      </c>
      <c r="AV122" s="48" t="n">
        <f aca="false">Y122*$X122</f>
        <v>45980</v>
      </c>
      <c r="AW122" s="48" t="n">
        <f aca="false">Z122*$X122</f>
        <v>0</v>
      </c>
      <c r="AX122" s="48" t="n">
        <f aca="false">AA122*$X122</f>
        <v>0</v>
      </c>
      <c r="AY122" s="48" t="n">
        <f aca="false">AB122*$X122</f>
        <v>67276</v>
      </c>
      <c r="AZ122" s="48" t="n">
        <f aca="false">AC122*$X122</f>
        <v>0</v>
      </c>
      <c r="BA122" s="1"/>
      <c r="BB122" s="1"/>
      <c r="BC122" s="1"/>
      <c r="BD122" s="1"/>
      <c r="BE122" s="1"/>
      <c r="BF122" s="1"/>
    </row>
    <row r="123" s="48" customFormat="true" ht="15" hidden="false" customHeight="true" outlineLevel="0" collapsed="false">
      <c r="A123" s="42" t="s">
        <v>192</v>
      </c>
      <c r="B123" s="42" t="n">
        <v>0</v>
      </c>
      <c r="C123" s="43"/>
      <c r="D123" s="44"/>
      <c r="E123" s="44" t="n">
        <v>26</v>
      </c>
      <c r="F123" s="44"/>
      <c r="G123" s="44"/>
      <c r="H123" s="44" t="n">
        <f aca="false">B123+D123+E123+F123+G123+C123</f>
        <v>26</v>
      </c>
      <c r="I123" s="45"/>
      <c r="J123" s="49"/>
      <c r="K123" s="49"/>
      <c r="L123" s="49"/>
      <c r="M123" s="49"/>
      <c r="N123" s="49" t="n">
        <v>26</v>
      </c>
      <c r="O123" s="49"/>
      <c r="P123" s="49" t="n">
        <v>0</v>
      </c>
      <c r="Q123" s="49"/>
      <c r="R123" s="49"/>
      <c r="S123" s="49"/>
      <c r="T123" s="49" t="n">
        <v>26</v>
      </c>
      <c r="U123" s="49" t="n">
        <v>26</v>
      </c>
      <c r="V123" s="47" t="n">
        <f aca="false">J123+K123+L123+M123+N123+O123+P123+Q123+R123+S123+T123+U123</f>
        <v>78</v>
      </c>
      <c r="W123" s="47" t="n">
        <f aca="false">H123-V123</f>
        <v>-52</v>
      </c>
      <c r="X123" s="48" t="n">
        <v>11</v>
      </c>
      <c r="Y123" s="48" t="n">
        <f aca="false">B123*$X123</f>
        <v>0</v>
      </c>
      <c r="Z123" s="48" t="n">
        <f aca="false">C123*$X123</f>
        <v>0</v>
      </c>
      <c r="AA123" s="48" t="n">
        <f aca="false">D123*$X123</f>
        <v>0</v>
      </c>
      <c r="AB123" s="48" t="n">
        <f aca="false">E123*$X123</f>
        <v>286</v>
      </c>
      <c r="AC123" s="48" t="n">
        <f aca="false">F123*$X123</f>
        <v>0</v>
      </c>
      <c r="AD123" s="48" t="n">
        <f aca="false">G123*$X123</f>
        <v>0</v>
      </c>
      <c r="AE123" s="48" t="n">
        <f aca="false">H123*$X123</f>
        <v>286</v>
      </c>
      <c r="AF123" s="48" t="n">
        <f aca="false">I123*$X123</f>
        <v>0</v>
      </c>
      <c r="AG123" s="48" t="n">
        <f aca="false">J123*$X123</f>
        <v>0</v>
      </c>
      <c r="AH123" s="48" t="n">
        <f aca="false">K123*$X123</f>
        <v>0</v>
      </c>
      <c r="AI123" s="48" t="n">
        <f aca="false">L123*$X123</f>
        <v>0</v>
      </c>
      <c r="AJ123" s="48" t="n">
        <f aca="false">M123*$X123</f>
        <v>0</v>
      </c>
      <c r="AK123" s="48" t="n">
        <f aca="false">N123*$X123</f>
        <v>286</v>
      </c>
      <c r="AL123" s="48" t="n">
        <f aca="false">O123*$X123</f>
        <v>0</v>
      </c>
      <c r="AM123" s="48" t="n">
        <f aca="false">P123*$X123</f>
        <v>0</v>
      </c>
      <c r="AN123" s="48" t="n">
        <f aca="false">Q123*$X123</f>
        <v>0</v>
      </c>
      <c r="AO123" s="48" t="n">
        <f aca="false">R123*$X123</f>
        <v>0</v>
      </c>
      <c r="AP123" s="48" t="n">
        <f aca="false">S123*$X123</f>
        <v>0</v>
      </c>
      <c r="AQ123" s="48" t="n">
        <f aca="false">T123*$X123</f>
        <v>286</v>
      </c>
      <c r="AR123" s="48" t="n">
        <f aca="false">U123*$X123</f>
        <v>286</v>
      </c>
      <c r="AS123" s="48" t="n">
        <f aca="false">V123*$X123</f>
        <v>858</v>
      </c>
      <c r="AT123" s="48" t="n">
        <f aca="false">W123*$X123</f>
        <v>-572</v>
      </c>
      <c r="AU123" s="48" t="n">
        <f aca="false">X123*$X123</f>
        <v>121</v>
      </c>
      <c r="AV123" s="48" t="n">
        <f aca="false">Y123*$X123</f>
        <v>0</v>
      </c>
      <c r="AW123" s="48" t="n">
        <f aca="false">Z123*$X123</f>
        <v>0</v>
      </c>
      <c r="AX123" s="48" t="n">
        <f aca="false">AA123*$X123</f>
        <v>0</v>
      </c>
      <c r="AY123" s="48" t="n">
        <f aca="false">AB123*$X123</f>
        <v>3146</v>
      </c>
      <c r="AZ123" s="48" t="n">
        <f aca="false">AC123*$X123</f>
        <v>0</v>
      </c>
      <c r="BA123" s="1"/>
      <c r="BB123" s="1"/>
      <c r="BC123" s="1"/>
      <c r="BD123" s="1"/>
      <c r="BE123" s="1"/>
      <c r="BF123" s="1"/>
    </row>
    <row r="124" s="48" customFormat="true" ht="15" hidden="false" customHeight="true" outlineLevel="0" collapsed="false">
      <c r="A124" s="42" t="s">
        <v>193</v>
      </c>
      <c r="B124" s="42" t="n">
        <v>47</v>
      </c>
      <c r="C124" s="43"/>
      <c r="D124" s="44"/>
      <c r="E124" s="44" t="n">
        <v>9</v>
      </c>
      <c r="F124" s="44"/>
      <c r="G124" s="44"/>
      <c r="H124" s="44" t="n">
        <f aca="false">B124+D124+E124+F124+G124+C124</f>
        <v>56</v>
      </c>
      <c r="I124" s="45"/>
      <c r="J124" s="49"/>
      <c r="K124" s="49"/>
      <c r="L124" s="49"/>
      <c r="M124" s="49"/>
      <c r="N124" s="49" t="n">
        <v>48</v>
      </c>
      <c r="O124" s="49"/>
      <c r="P124" s="49" t="n">
        <v>8</v>
      </c>
      <c r="Q124" s="49"/>
      <c r="R124" s="49"/>
      <c r="S124" s="49"/>
      <c r="T124" s="49"/>
      <c r="U124" s="49"/>
      <c r="V124" s="47" t="n">
        <f aca="false">J124+K124+L124+M124+N124+O124+P124+Q124+R124+S124+T124+U124</f>
        <v>56</v>
      </c>
      <c r="W124" s="47" t="n">
        <f aca="false">H124-V124</f>
        <v>0</v>
      </c>
      <c r="X124" s="48" t="n">
        <v>12.1</v>
      </c>
      <c r="Y124" s="48" t="n">
        <f aca="false">B124*$X124</f>
        <v>568.7</v>
      </c>
      <c r="Z124" s="48" t="n">
        <f aca="false">C124*$X124</f>
        <v>0</v>
      </c>
      <c r="AA124" s="48" t="n">
        <f aca="false">D124*$X124</f>
        <v>0</v>
      </c>
      <c r="AB124" s="48" t="n">
        <f aca="false">E124*$X124</f>
        <v>108.9</v>
      </c>
      <c r="AC124" s="48" t="n">
        <f aca="false">F124*$X124</f>
        <v>0</v>
      </c>
      <c r="AD124" s="48" t="n">
        <f aca="false">G124*$X124</f>
        <v>0</v>
      </c>
      <c r="AE124" s="48" t="n">
        <f aca="false">H124*$X124</f>
        <v>677.6</v>
      </c>
      <c r="AF124" s="48" t="n">
        <f aca="false">I124*$X124</f>
        <v>0</v>
      </c>
      <c r="AG124" s="48" t="n">
        <f aca="false">J124*$X124</f>
        <v>0</v>
      </c>
      <c r="AH124" s="48" t="n">
        <f aca="false">K124*$X124</f>
        <v>0</v>
      </c>
      <c r="AI124" s="48" t="n">
        <f aca="false">L124*$X124</f>
        <v>0</v>
      </c>
      <c r="AJ124" s="48" t="n">
        <f aca="false">M124*$X124</f>
        <v>0</v>
      </c>
      <c r="AK124" s="48" t="n">
        <f aca="false">N124*$X124</f>
        <v>580.8</v>
      </c>
      <c r="AL124" s="48" t="n">
        <f aca="false">O124*$X124</f>
        <v>0</v>
      </c>
      <c r="AM124" s="48" t="n">
        <f aca="false">P124*$X124</f>
        <v>96.8</v>
      </c>
      <c r="AN124" s="48" t="n">
        <f aca="false">Q124*$X124</f>
        <v>0</v>
      </c>
      <c r="AO124" s="48" t="n">
        <f aca="false">R124*$X124</f>
        <v>0</v>
      </c>
      <c r="AP124" s="48" t="n">
        <f aca="false">S124*$X124</f>
        <v>0</v>
      </c>
      <c r="AQ124" s="48" t="n">
        <f aca="false">T124*$X124</f>
        <v>0</v>
      </c>
      <c r="AR124" s="48" t="n">
        <f aca="false">U124*$X124</f>
        <v>0</v>
      </c>
      <c r="AS124" s="48" t="n">
        <f aca="false">V124*$X124</f>
        <v>677.6</v>
      </c>
      <c r="AT124" s="48" t="n">
        <f aca="false">W124*$X124</f>
        <v>0</v>
      </c>
      <c r="AU124" s="48" t="n">
        <f aca="false">X124*$X124</f>
        <v>146.41</v>
      </c>
      <c r="AV124" s="48" t="n">
        <f aca="false">Y124*$X124</f>
        <v>6881.27</v>
      </c>
      <c r="AW124" s="48" t="n">
        <f aca="false">Z124*$X124</f>
        <v>0</v>
      </c>
      <c r="AX124" s="48" t="n">
        <f aca="false">AA124*$X124</f>
        <v>0</v>
      </c>
      <c r="AY124" s="48" t="n">
        <f aca="false">AB124*$X124</f>
        <v>1317.69</v>
      </c>
      <c r="AZ124" s="48" t="n">
        <f aca="false">AC124*$X124</f>
        <v>0</v>
      </c>
      <c r="BA124" s="1"/>
      <c r="BB124" s="1"/>
      <c r="BC124" s="1"/>
      <c r="BD124" s="1"/>
      <c r="BE124" s="1"/>
      <c r="BF124" s="1"/>
    </row>
    <row r="125" s="48" customFormat="true" ht="15" hidden="false" customHeight="true" outlineLevel="0" collapsed="false">
      <c r="A125" s="42" t="s">
        <v>194</v>
      </c>
      <c r="B125" s="42" t="n">
        <v>219</v>
      </c>
      <c r="C125" s="43"/>
      <c r="D125" s="44"/>
      <c r="E125" s="44" t="n">
        <v>14</v>
      </c>
      <c r="F125" s="44"/>
      <c r="G125" s="44" t="n">
        <v>5</v>
      </c>
      <c r="H125" s="44" t="n">
        <f aca="false">B125+D125+E125+F125+G125+C125</f>
        <v>238</v>
      </c>
      <c r="I125" s="45"/>
      <c r="J125" s="49"/>
      <c r="K125" s="49"/>
      <c r="L125" s="49"/>
      <c r="M125" s="49"/>
      <c r="N125" s="49" t="n">
        <v>99</v>
      </c>
      <c r="O125" s="49"/>
      <c r="P125" s="49" t="n">
        <v>20</v>
      </c>
      <c r="Q125" s="49" t="n">
        <v>101</v>
      </c>
      <c r="R125" s="49" t="n">
        <v>83</v>
      </c>
      <c r="S125" s="49" t="n">
        <v>18</v>
      </c>
      <c r="T125" s="49" t="n">
        <v>0</v>
      </c>
      <c r="U125" s="49" t="n">
        <v>15</v>
      </c>
      <c r="V125" s="47" t="n">
        <f aca="false">J125+K125+L125+M125+N125+O125+P125+Q125+R125+S125+T125+U125</f>
        <v>336</v>
      </c>
      <c r="W125" s="47" t="n">
        <f aca="false">H125-V125</f>
        <v>-98</v>
      </c>
      <c r="X125" s="48" t="n">
        <v>13.75</v>
      </c>
      <c r="Y125" s="48" t="n">
        <f aca="false">B125*$X125</f>
        <v>3011.25</v>
      </c>
      <c r="Z125" s="48" t="n">
        <f aca="false">C125*$X125</f>
        <v>0</v>
      </c>
      <c r="AA125" s="48" t="n">
        <f aca="false">D125*$X125</f>
        <v>0</v>
      </c>
      <c r="AB125" s="48" t="n">
        <f aca="false">E125*$X125</f>
        <v>192.5</v>
      </c>
      <c r="AC125" s="48" t="n">
        <f aca="false">F125*$X125</f>
        <v>0</v>
      </c>
      <c r="AD125" s="48" t="n">
        <f aca="false">G125*$X125</f>
        <v>68.75</v>
      </c>
      <c r="AE125" s="48" t="n">
        <f aca="false">H125*$X125</f>
        <v>3272.5</v>
      </c>
      <c r="AF125" s="48" t="n">
        <f aca="false">I125*$X125</f>
        <v>0</v>
      </c>
      <c r="AG125" s="48" t="n">
        <f aca="false">J125*$X125</f>
        <v>0</v>
      </c>
      <c r="AH125" s="48" t="n">
        <f aca="false">K125*$X125</f>
        <v>0</v>
      </c>
      <c r="AI125" s="48" t="n">
        <f aca="false">L125*$X125</f>
        <v>0</v>
      </c>
      <c r="AJ125" s="48" t="n">
        <f aca="false">M125*$X125</f>
        <v>0</v>
      </c>
      <c r="AK125" s="48" t="n">
        <f aca="false">N125*$X125</f>
        <v>1361.25</v>
      </c>
      <c r="AL125" s="48" t="n">
        <f aca="false">O125*$X125</f>
        <v>0</v>
      </c>
      <c r="AM125" s="48" t="n">
        <f aca="false">P125*$X125</f>
        <v>275</v>
      </c>
      <c r="AN125" s="48" t="n">
        <f aca="false">Q125*$X125</f>
        <v>1388.75</v>
      </c>
      <c r="AO125" s="48" t="n">
        <f aca="false">R125*$X125</f>
        <v>1141.25</v>
      </c>
      <c r="AP125" s="48" t="n">
        <f aca="false">S125*$X125</f>
        <v>247.5</v>
      </c>
      <c r="AQ125" s="48" t="n">
        <f aca="false">T125*$X125</f>
        <v>0</v>
      </c>
      <c r="AR125" s="48" t="n">
        <f aca="false">U125*$X125</f>
        <v>206.25</v>
      </c>
      <c r="AS125" s="48" t="n">
        <f aca="false">V125*$X125</f>
        <v>4620</v>
      </c>
      <c r="AT125" s="48" t="n">
        <f aca="false">W125*$X125</f>
        <v>-1347.5</v>
      </c>
      <c r="AU125" s="48" t="n">
        <f aca="false">X125*$X125</f>
        <v>189.0625</v>
      </c>
      <c r="AV125" s="48" t="n">
        <f aca="false">Y125*$X125</f>
        <v>41404.6875</v>
      </c>
      <c r="AW125" s="48" t="n">
        <f aca="false">Z125*$X125</f>
        <v>0</v>
      </c>
      <c r="AX125" s="48" t="n">
        <f aca="false">AA125*$X125</f>
        <v>0</v>
      </c>
      <c r="AY125" s="48" t="n">
        <f aca="false">AB125*$X125</f>
        <v>2646.875</v>
      </c>
      <c r="AZ125" s="48" t="n">
        <f aca="false">AC125*$X125</f>
        <v>0</v>
      </c>
      <c r="BA125" s="1"/>
      <c r="BB125" s="1"/>
      <c r="BC125" s="1"/>
      <c r="BD125" s="1"/>
      <c r="BE125" s="1"/>
      <c r="BF125" s="1"/>
    </row>
    <row r="126" s="48" customFormat="true" ht="15" hidden="false" customHeight="true" outlineLevel="0" collapsed="false">
      <c r="A126" s="42" t="s">
        <v>195</v>
      </c>
      <c r="B126" s="42" t="n">
        <v>0</v>
      </c>
      <c r="C126" s="43"/>
      <c r="D126" s="44" t="n">
        <v>1</v>
      </c>
      <c r="E126" s="44"/>
      <c r="F126" s="44"/>
      <c r="G126" s="44"/>
      <c r="H126" s="44" t="n">
        <f aca="false">B126+D126+E126+F126+G126+C126</f>
        <v>1</v>
      </c>
      <c r="I126" s="45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 t="n">
        <v>1</v>
      </c>
      <c r="U126" s="49"/>
      <c r="V126" s="47" t="n">
        <f aca="false">J126+K126+L126+M126+N126+O126+P126+Q126+R126+S126+T126+U126</f>
        <v>1</v>
      </c>
      <c r="W126" s="47" t="n">
        <f aca="false">H126-V126</f>
        <v>0</v>
      </c>
      <c r="X126" s="48" t="n">
        <v>13.75</v>
      </c>
      <c r="Y126" s="48" t="n">
        <f aca="false">B126*$X126</f>
        <v>0</v>
      </c>
      <c r="Z126" s="48" t="n">
        <f aca="false">C126*$X126</f>
        <v>0</v>
      </c>
      <c r="AA126" s="48" t="n">
        <f aca="false">D126*$X126</f>
        <v>13.75</v>
      </c>
      <c r="AB126" s="48" t="n">
        <f aca="false">E126*$X126</f>
        <v>0</v>
      </c>
      <c r="AC126" s="48" t="n">
        <f aca="false">F126*$X126</f>
        <v>0</v>
      </c>
      <c r="AD126" s="48" t="n">
        <f aca="false">G126*$X126</f>
        <v>0</v>
      </c>
      <c r="AE126" s="48" t="n">
        <f aca="false">H126*$X126</f>
        <v>13.75</v>
      </c>
      <c r="AF126" s="48" t="n">
        <f aca="false">I126*$X126</f>
        <v>0</v>
      </c>
      <c r="AG126" s="48" t="n">
        <f aca="false">J126*$X126</f>
        <v>0</v>
      </c>
      <c r="AH126" s="48" t="n">
        <f aca="false">K126*$X126</f>
        <v>0</v>
      </c>
      <c r="AI126" s="48" t="n">
        <f aca="false">L126*$X126</f>
        <v>0</v>
      </c>
      <c r="AJ126" s="48" t="n">
        <f aca="false">M126*$X126</f>
        <v>0</v>
      </c>
      <c r="AK126" s="48" t="n">
        <f aca="false">N126*$X126</f>
        <v>0</v>
      </c>
      <c r="AL126" s="48" t="n">
        <f aca="false">O126*$X126</f>
        <v>0</v>
      </c>
      <c r="AM126" s="48" t="n">
        <f aca="false">P126*$X126</f>
        <v>0</v>
      </c>
      <c r="AN126" s="48" t="n">
        <f aca="false">Q126*$X126</f>
        <v>0</v>
      </c>
      <c r="AO126" s="48" t="n">
        <f aca="false">R126*$X126</f>
        <v>0</v>
      </c>
      <c r="AP126" s="48" t="n">
        <f aca="false">S126*$X126</f>
        <v>0</v>
      </c>
      <c r="AQ126" s="48" t="n">
        <f aca="false">T126*$X126</f>
        <v>13.75</v>
      </c>
      <c r="AR126" s="48" t="n">
        <f aca="false">U126*$X126</f>
        <v>0</v>
      </c>
      <c r="AS126" s="48" t="n">
        <f aca="false">V126*$X126</f>
        <v>13.75</v>
      </c>
      <c r="AT126" s="48" t="n">
        <f aca="false">W126*$X126</f>
        <v>0</v>
      </c>
      <c r="AU126" s="48" t="n">
        <f aca="false">X126*$X126</f>
        <v>189.0625</v>
      </c>
      <c r="AV126" s="48" t="n">
        <f aca="false">Y126*$X126</f>
        <v>0</v>
      </c>
      <c r="AW126" s="48" t="n">
        <f aca="false">Z126*$X126</f>
        <v>0</v>
      </c>
      <c r="AX126" s="48" t="n">
        <f aca="false">AA126*$X126</f>
        <v>189.0625</v>
      </c>
      <c r="AY126" s="48" t="n">
        <f aca="false">AB126*$X126</f>
        <v>0</v>
      </c>
      <c r="AZ126" s="48" t="n">
        <f aca="false">AC126*$X126</f>
        <v>0</v>
      </c>
      <c r="BA126" s="1"/>
      <c r="BB126" s="1"/>
      <c r="BC126" s="1"/>
      <c r="BD126" s="1"/>
      <c r="BE126" s="1"/>
      <c r="BF126" s="1"/>
    </row>
    <row r="127" s="48" customFormat="true" ht="15" hidden="false" customHeight="true" outlineLevel="0" collapsed="false">
      <c r="A127" s="42" t="s">
        <v>196</v>
      </c>
      <c r="B127" s="42" t="n">
        <v>12</v>
      </c>
      <c r="C127" s="43"/>
      <c r="D127" s="44"/>
      <c r="E127" s="44" t="n">
        <v>10</v>
      </c>
      <c r="F127" s="44"/>
      <c r="G127" s="44"/>
      <c r="H127" s="44" t="n">
        <f aca="false">B127+D127+E127+F127+G127+C127</f>
        <v>22</v>
      </c>
      <c r="I127" s="45"/>
      <c r="J127" s="49"/>
      <c r="K127" s="49"/>
      <c r="L127" s="49"/>
      <c r="M127" s="49"/>
      <c r="N127" s="49" t="n">
        <v>10</v>
      </c>
      <c r="O127" s="49"/>
      <c r="P127" s="49" t="n">
        <v>12</v>
      </c>
      <c r="Q127" s="49"/>
      <c r="R127" s="49"/>
      <c r="S127" s="49"/>
      <c r="T127" s="49"/>
      <c r="U127" s="49"/>
      <c r="V127" s="47" t="n">
        <f aca="false">J127+K127+L127+M127+N127+O127+P127+Q127+R127+S127+T127+U127</f>
        <v>22</v>
      </c>
      <c r="W127" s="47" t="n">
        <f aca="false">H127-V127</f>
        <v>0</v>
      </c>
      <c r="X127" s="48" t="n">
        <v>15.4</v>
      </c>
      <c r="Y127" s="48" t="n">
        <f aca="false">B127*$X127</f>
        <v>184.8</v>
      </c>
      <c r="Z127" s="48" t="n">
        <f aca="false">C127*$X127</f>
        <v>0</v>
      </c>
      <c r="AA127" s="48" t="n">
        <f aca="false">D127*$X127</f>
        <v>0</v>
      </c>
      <c r="AB127" s="48" t="n">
        <f aca="false">E127*$X127</f>
        <v>154</v>
      </c>
      <c r="AC127" s="48" t="n">
        <f aca="false">F127*$X127</f>
        <v>0</v>
      </c>
      <c r="AD127" s="48" t="n">
        <f aca="false">G127*$X127</f>
        <v>0</v>
      </c>
      <c r="AE127" s="48" t="n">
        <f aca="false">H127*$X127</f>
        <v>338.8</v>
      </c>
      <c r="AF127" s="48" t="n">
        <f aca="false">I127*$X127</f>
        <v>0</v>
      </c>
      <c r="AG127" s="48" t="n">
        <f aca="false">J127*$X127</f>
        <v>0</v>
      </c>
      <c r="AH127" s="48" t="n">
        <f aca="false">K127*$X127</f>
        <v>0</v>
      </c>
      <c r="AI127" s="48" t="n">
        <f aca="false">L127*$X127</f>
        <v>0</v>
      </c>
      <c r="AJ127" s="48" t="n">
        <f aca="false">M127*$X127</f>
        <v>0</v>
      </c>
      <c r="AK127" s="48" t="n">
        <f aca="false">N127*$X127</f>
        <v>154</v>
      </c>
      <c r="AL127" s="48" t="n">
        <f aca="false">O127*$X127</f>
        <v>0</v>
      </c>
      <c r="AM127" s="48" t="n">
        <f aca="false">P127*$X127</f>
        <v>184.8</v>
      </c>
      <c r="AN127" s="48" t="n">
        <f aca="false">Q127*$X127</f>
        <v>0</v>
      </c>
      <c r="AO127" s="48" t="n">
        <f aca="false">R127*$X127</f>
        <v>0</v>
      </c>
      <c r="AP127" s="48" t="n">
        <f aca="false">S127*$X127</f>
        <v>0</v>
      </c>
      <c r="AQ127" s="48" t="n">
        <f aca="false">T127*$X127</f>
        <v>0</v>
      </c>
      <c r="AR127" s="48" t="n">
        <f aca="false">U127*$X127</f>
        <v>0</v>
      </c>
      <c r="AS127" s="48" t="n">
        <f aca="false">V127*$X127</f>
        <v>338.8</v>
      </c>
      <c r="AT127" s="48" t="n">
        <f aca="false">W127*$X127</f>
        <v>0</v>
      </c>
      <c r="AU127" s="48" t="n">
        <f aca="false">X127*$X127</f>
        <v>237.16</v>
      </c>
      <c r="AV127" s="48" t="n">
        <f aca="false">Y127*$X127</f>
        <v>2845.92</v>
      </c>
      <c r="AW127" s="48" t="n">
        <f aca="false">Z127*$X127</f>
        <v>0</v>
      </c>
      <c r="AX127" s="48" t="n">
        <f aca="false">AA127*$X127</f>
        <v>0</v>
      </c>
      <c r="AY127" s="48" t="n">
        <f aca="false">AB127*$X127</f>
        <v>2371.6</v>
      </c>
      <c r="AZ127" s="48" t="n">
        <f aca="false">AC127*$X127</f>
        <v>0</v>
      </c>
      <c r="BA127" s="1"/>
      <c r="BB127" s="1"/>
      <c r="BC127" s="1"/>
      <c r="BD127" s="1"/>
      <c r="BE127" s="1"/>
      <c r="BF127" s="1"/>
    </row>
    <row r="128" s="48" customFormat="true" ht="15" hidden="false" customHeight="true" outlineLevel="0" collapsed="false">
      <c r="A128" s="42" t="s">
        <v>197</v>
      </c>
      <c r="B128" s="42" t="n">
        <v>45</v>
      </c>
      <c r="C128" s="43"/>
      <c r="D128" s="44"/>
      <c r="E128" s="44" t="n">
        <v>4</v>
      </c>
      <c r="F128" s="44"/>
      <c r="G128" s="44" t="n">
        <v>130</v>
      </c>
      <c r="H128" s="44" t="n">
        <f aca="false">B128+D128+E128+F128+G128+C128</f>
        <v>179</v>
      </c>
      <c r="I128" s="45"/>
      <c r="J128" s="49" t="n">
        <v>23</v>
      </c>
      <c r="K128" s="49"/>
      <c r="L128" s="49"/>
      <c r="M128" s="49"/>
      <c r="N128" s="49" t="n">
        <v>0</v>
      </c>
      <c r="O128" s="49" t="n">
        <v>16</v>
      </c>
      <c r="P128" s="49" t="n">
        <v>57</v>
      </c>
      <c r="Q128" s="49"/>
      <c r="R128" s="49" t="n">
        <v>13</v>
      </c>
      <c r="S128" s="49" t="n">
        <v>10</v>
      </c>
      <c r="T128" s="49" t="n">
        <v>33</v>
      </c>
      <c r="U128" s="49" t="n">
        <v>36</v>
      </c>
      <c r="V128" s="47" t="n">
        <f aca="false">J128+K128+L128+M128+N128+O128+P128+Q128+R128+S128+T128+U128</f>
        <v>188</v>
      </c>
      <c r="W128" s="47" t="n">
        <f aca="false">H128-V128</f>
        <v>-9</v>
      </c>
      <c r="X128" s="48" t="n">
        <v>16.5</v>
      </c>
      <c r="Y128" s="48" t="n">
        <f aca="false">B128*$X128</f>
        <v>742.5</v>
      </c>
      <c r="Z128" s="48" t="n">
        <f aca="false">C128*$X128</f>
        <v>0</v>
      </c>
      <c r="AA128" s="48" t="n">
        <f aca="false">D128*$X128</f>
        <v>0</v>
      </c>
      <c r="AB128" s="48" t="n">
        <f aca="false">E128*$X128</f>
        <v>66</v>
      </c>
      <c r="AC128" s="48" t="n">
        <f aca="false">F128*$X128</f>
        <v>0</v>
      </c>
      <c r="AD128" s="48" t="n">
        <f aca="false">G128*$X128</f>
        <v>2145</v>
      </c>
      <c r="AE128" s="48" t="n">
        <f aca="false">H128*$X128</f>
        <v>2953.5</v>
      </c>
      <c r="AF128" s="48" t="n">
        <f aca="false">I128*$X128</f>
        <v>0</v>
      </c>
      <c r="AG128" s="48" t="n">
        <f aca="false">J128*$X128</f>
        <v>379.5</v>
      </c>
      <c r="AH128" s="48" t="n">
        <f aca="false">K128*$X128</f>
        <v>0</v>
      </c>
      <c r="AI128" s="48" t="n">
        <f aca="false">L128*$X128</f>
        <v>0</v>
      </c>
      <c r="AJ128" s="48" t="n">
        <f aca="false">M128*$X128</f>
        <v>0</v>
      </c>
      <c r="AK128" s="48" t="n">
        <f aca="false">N128*$X128</f>
        <v>0</v>
      </c>
      <c r="AL128" s="48" t="n">
        <f aca="false">O128*$X128</f>
        <v>264</v>
      </c>
      <c r="AM128" s="48" t="n">
        <f aca="false">P128*$X128</f>
        <v>940.5</v>
      </c>
      <c r="AN128" s="48" t="n">
        <f aca="false">Q128*$X128</f>
        <v>0</v>
      </c>
      <c r="AO128" s="48" t="n">
        <f aca="false">R128*$X128</f>
        <v>214.5</v>
      </c>
      <c r="AP128" s="48" t="n">
        <f aca="false">S128*$X128</f>
        <v>165</v>
      </c>
      <c r="AQ128" s="48" t="n">
        <f aca="false">T128*$X128</f>
        <v>544.5</v>
      </c>
      <c r="AR128" s="48" t="n">
        <f aca="false">U128*$X128</f>
        <v>594</v>
      </c>
      <c r="AS128" s="48" t="n">
        <f aca="false">V128*$X128</f>
        <v>3102</v>
      </c>
      <c r="AT128" s="48" t="n">
        <f aca="false">W128*$X128</f>
        <v>-148.5</v>
      </c>
      <c r="AU128" s="48" t="n">
        <f aca="false">X128*$X128</f>
        <v>272.25</v>
      </c>
      <c r="AV128" s="48" t="n">
        <f aca="false">Y128*$X128</f>
        <v>12251.25</v>
      </c>
      <c r="AW128" s="48" t="n">
        <f aca="false">Z128*$X128</f>
        <v>0</v>
      </c>
      <c r="AX128" s="48" t="n">
        <f aca="false">AA128*$X128</f>
        <v>0</v>
      </c>
      <c r="AY128" s="48" t="n">
        <f aca="false">AB128*$X128</f>
        <v>1089</v>
      </c>
      <c r="AZ128" s="48" t="n">
        <f aca="false">AC128*$X128</f>
        <v>0</v>
      </c>
      <c r="BA128" s="1"/>
      <c r="BB128" s="1"/>
      <c r="BC128" s="1"/>
      <c r="BD128" s="1"/>
      <c r="BE128" s="1"/>
      <c r="BF128" s="1"/>
    </row>
    <row r="129" s="48" customFormat="true" ht="15" hidden="false" customHeight="true" outlineLevel="0" collapsed="false">
      <c r="A129" s="42" t="s">
        <v>198</v>
      </c>
      <c r="B129" s="42" t="n">
        <v>0</v>
      </c>
      <c r="C129" s="43"/>
      <c r="D129" s="44"/>
      <c r="E129" s="44"/>
      <c r="F129" s="44"/>
      <c r="G129" s="44"/>
      <c r="H129" s="44" t="n">
        <f aca="false">B129+D129+E129+F129+G129+C129</f>
        <v>0</v>
      </c>
      <c r="I129" s="45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7" t="n">
        <f aca="false">J129+K129+L129+M129+N129+O129+P129+Q129+R129+S129+T129+U129</f>
        <v>0</v>
      </c>
      <c r="W129" s="47" t="n">
        <f aca="false">H129-V129</f>
        <v>0</v>
      </c>
      <c r="X129" s="48" t="n">
        <v>16.5</v>
      </c>
      <c r="Y129" s="48" t="n">
        <f aca="false">B129*$X129</f>
        <v>0</v>
      </c>
      <c r="Z129" s="48" t="n">
        <f aca="false">C129*$X129</f>
        <v>0</v>
      </c>
      <c r="AA129" s="48" t="n">
        <f aca="false">D129*$X129</f>
        <v>0</v>
      </c>
      <c r="AB129" s="48" t="n">
        <f aca="false">E129*$X129</f>
        <v>0</v>
      </c>
      <c r="AC129" s="48" t="n">
        <f aca="false">F129*$X129</f>
        <v>0</v>
      </c>
      <c r="AD129" s="48" t="n">
        <f aca="false">G129*$X129</f>
        <v>0</v>
      </c>
      <c r="AE129" s="48" t="n">
        <f aca="false">H129*$X129</f>
        <v>0</v>
      </c>
      <c r="AF129" s="48" t="n">
        <f aca="false">I129*$X129</f>
        <v>0</v>
      </c>
      <c r="AG129" s="48" t="n">
        <f aca="false">J129*$X129</f>
        <v>0</v>
      </c>
      <c r="AH129" s="48" t="n">
        <f aca="false">K129*$X129</f>
        <v>0</v>
      </c>
      <c r="AI129" s="48" t="n">
        <f aca="false">L129*$X129</f>
        <v>0</v>
      </c>
      <c r="AJ129" s="48" t="n">
        <f aca="false">M129*$X129</f>
        <v>0</v>
      </c>
      <c r="AK129" s="48" t="n">
        <f aca="false">N129*$X129</f>
        <v>0</v>
      </c>
      <c r="AL129" s="48" t="n">
        <f aca="false">O129*$X129</f>
        <v>0</v>
      </c>
      <c r="AM129" s="48" t="n">
        <f aca="false">P129*$X129</f>
        <v>0</v>
      </c>
      <c r="AN129" s="48" t="n">
        <f aca="false">Q129*$X129</f>
        <v>0</v>
      </c>
      <c r="AO129" s="48" t="n">
        <f aca="false">R129*$X129</f>
        <v>0</v>
      </c>
      <c r="AP129" s="48" t="n">
        <f aca="false">S129*$X129</f>
        <v>0</v>
      </c>
      <c r="AQ129" s="48" t="n">
        <f aca="false">T129*$X129</f>
        <v>0</v>
      </c>
      <c r="AR129" s="48" t="n">
        <f aca="false">U129*$X129</f>
        <v>0</v>
      </c>
      <c r="AS129" s="48" t="n">
        <f aca="false">V129*$X129</f>
        <v>0</v>
      </c>
      <c r="AT129" s="48" t="n">
        <f aca="false">W129*$X129</f>
        <v>0</v>
      </c>
      <c r="AU129" s="48" t="n">
        <f aca="false">X129*$X129</f>
        <v>272.25</v>
      </c>
      <c r="AV129" s="48" t="n">
        <f aca="false">Y129*$X129</f>
        <v>0</v>
      </c>
      <c r="AW129" s="48" t="n">
        <f aca="false">Z129*$X129</f>
        <v>0</v>
      </c>
      <c r="AX129" s="48" t="n">
        <f aca="false">AA129*$X129</f>
        <v>0</v>
      </c>
      <c r="AY129" s="48" t="n">
        <f aca="false">AB129*$X129</f>
        <v>0</v>
      </c>
      <c r="AZ129" s="48" t="n">
        <f aca="false">AC129*$X129</f>
        <v>0</v>
      </c>
      <c r="BA129" s="1"/>
      <c r="BB129" s="1"/>
      <c r="BC129" s="1"/>
      <c r="BD129" s="1"/>
      <c r="BE129" s="1"/>
      <c r="BF129" s="1"/>
    </row>
    <row r="130" s="48" customFormat="true" ht="15" hidden="false" customHeight="true" outlineLevel="0" collapsed="false">
      <c r="A130" s="42" t="s">
        <v>199</v>
      </c>
      <c r="B130" s="42" t="n">
        <v>16</v>
      </c>
      <c r="C130" s="43"/>
      <c r="D130" s="44"/>
      <c r="E130" s="44" t="n">
        <v>2</v>
      </c>
      <c r="F130" s="44"/>
      <c r="G130" s="44"/>
      <c r="H130" s="44" t="n">
        <f aca="false">B130+D130+E130+F130+G130+C130</f>
        <v>18</v>
      </c>
      <c r="I130" s="45"/>
      <c r="J130" s="49"/>
      <c r="K130" s="49"/>
      <c r="L130" s="49"/>
      <c r="M130" s="49"/>
      <c r="N130" s="49"/>
      <c r="O130" s="49"/>
      <c r="P130" s="49" t="n">
        <v>16</v>
      </c>
      <c r="Q130" s="49"/>
      <c r="R130" s="49" t="n">
        <v>1</v>
      </c>
      <c r="S130" s="49"/>
      <c r="T130" s="49" t="n">
        <v>2</v>
      </c>
      <c r="U130" s="49"/>
      <c r="V130" s="47" t="n">
        <f aca="false">J130+K130+L130+M130+N130+O130+P130+Q130+R130+S130+T130+U130</f>
        <v>19</v>
      </c>
      <c r="W130" s="47" t="n">
        <f aca="false">H130-V130</f>
        <v>-1</v>
      </c>
      <c r="X130" s="48" t="n">
        <v>19.25</v>
      </c>
      <c r="Y130" s="48" t="n">
        <f aca="false">B130*$X130</f>
        <v>308</v>
      </c>
      <c r="Z130" s="48" t="n">
        <f aca="false">C130*$X130</f>
        <v>0</v>
      </c>
      <c r="AA130" s="48" t="n">
        <f aca="false">D130*$X130</f>
        <v>0</v>
      </c>
      <c r="AB130" s="48" t="n">
        <f aca="false">E130*$X130</f>
        <v>38.5</v>
      </c>
      <c r="AC130" s="48" t="n">
        <f aca="false">F130*$X130</f>
        <v>0</v>
      </c>
      <c r="AD130" s="48" t="n">
        <f aca="false">G130*$X130</f>
        <v>0</v>
      </c>
      <c r="AE130" s="48" t="n">
        <f aca="false">H130*$X130</f>
        <v>346.5</v>
      </c>
      <c r="AF130" s="48" t="n">
        <f aca="false">I130*$X130</f>
        <v>0</v>
      </c>
      <c r="AG130" s="48" t="n">
        <f aca="false">J130*$X130</f>
        <v>0</v>
      </c>
      <c r="AH130" s="48" t="n">
        <f aca="false">K130*$X130</f>
        <v>0</v>
      </c>
      <c r="AI130" s="48" t="n">
        <f aca="false">L130*$X130</f>
        <v>0</v>
      </c>
      <c r="AJ130" s="48" t="n">
        <f aca="false">M130*$X130</f>
        <v>0</v>
      </c>
      <c r="AK130" s="48" t="n">
        <f aca="false">N130*$X130</f>
        <v>0</v>
      </c>
      <c r="AL130" s="48" t="n">
        <f aca="false">O130*$X130</f>
        <v>0</v>
      </c>
      <c r="AM130" s="48" t="n">
        <f aca="false">P130*$X130</f>
        <v>308</v>
      </c>
      <c r="AN130" s="48" t="n">
        <f aca="false">Q130*$X130</f>
        <v>0</v>
      </c>
      <c r="AO130" s="48" t="n">
        <f aca="false">R130*$X130</f>
        <v>19.25</v>
      </c>
      <c r="AP130" s="48" t="n">
        <f aca="false">S130*$X130</f>
        <v>0</v>
      </c>
      <c r="AQ130" s="48" t="n">
        <f aca="false">T130*$X130</f>
        <v>38.5</v>
      </c>
      <c r="AR130" s="48" t="n">
        <f aca="false">U130*$X130</f>
        <v>0</v>
      </c>
      <c r="AS130" s="48" t="n">
        <f aca="false">V130*$X130</f>
        <v>365.75</v>
      </c>
      <c r="AT130" s="48" t="n">
        <f aca="false">W130*$X130</f>
        <v>-19.25</v>
      </c>
      <c r="AU130" s="48" t="n">
        <f aca="false">X130*$X130</f>
        <v>370.5625</v>
      </c>
      <c r="AV130" s="48" t="n">
        <f aca="false">Y130*$X130</f>
        <v>5929</v>
      </c>
      <c r="AW130" s="48" t="n">
        <f aca="false">Z130*$X130</f>
        <v>0</v>
      </c>
      <c r="AX130" s="48" t="n">
        <f aca="false">AA130*$X130</f>
        <v>0</v>
      </c>
      <c r="AY130" s="48" t="n">
        <f aca="false">AB130*$X130</f>
        <v>741.125</v>
      </c>
      <c r="AZ130" s="48" t="n">
        <f aca="false">AC130*$X130</f>
        <v>0</v>
      </c>
      <c r="BA130" s="1"/>
      <c r="BB130" s="1"/>
      <c r="BC130" s="1"/>
      <c r="BD130" s="1"/>
      <c r="BE130" s="1"/>
      <c r="BF130" s="1"/>
    </row>
    <row r="131" s="48" customFormat="true" ht="15" hidden="false" customHeight="true" outlineLevel="0" collapsed="false">
      <c r="A131" s="42" t="s">
        <v>200</v>
      </c>
      <c r="B131" s="42" t="n">
        <v>0</v>
      </c>
      <c r="C131" s="43"/>
      <c r="D131" s="44"/>
      <c r="E131" s="44"/>
      <c r="F131" s="44"/>
      <c r="G131" s="44"/>
      <c r="H131" s="44" t="n">
        <f aca="false">B131+D131+E131+F131+G131+C131</f>
        <v>0</v>
      </c>
      <c r="I131" s="45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7" t="n">
        <f aca="false">J131+K131+L131+M131+N131+O131+P131+Q131+R131+S131+T131+U131</f>
        <v>0</v>
      </c>
      <c r="W131" s="47" t="n">
        <f aca="false">H131-V131</f>
        <v>0</v>
      </c>
      <c r="X131" s="48" t="n">
        <v>22</v>
      </c>
      <c r="Y131" s="48" t="n">
        <f aca="false">B131*$X131</f>
        <v>0</v>
      </c>
      <c r="Z131" s="48" t="n">
        <f aca="false">C131*$X131</f>
        <v>0</v>
      </c>
      <c r="AA131" s="48" t="n">
        <f aca="false">D131*$X131</f>
        <v>0</v>
      </c>
      <c r="AB131" s="48" t="n">
        <f aca="false">E131*$X131</f>
        <v>0</v>
      </c>
      <c r="AC131" s="48" t="n">
        <f aca="false">F131*$X131</f>
        <v>0</v>
      </c>
      <c r="AD131" s="48" t="n">
        <f aca="false">G131*$X131</f>
        <v>0</v>
      </c>
      <c r="AE131" s="48" t="n">
        <f aca="false">H131*$X131</f>
        <v>0</v>
      </c>
      <c r="AF131" s="48" t="n">
        <f aca="false">I131*$X131</f>
        <v>0</v>
      </c>
      <c r="AG131" s="48" t="n">
        <f aca="false">J131*$X131</f>
        <v>0</v>
      </c>
      <c r="AH131" s="48" t="n">
        <f aca="false">K131*$X131</f>
        <v>0</v>
      </c>
      <c r="AI131" s="48" t="n">
        <f aca="false">L131*$X131</f>
        <v>0</v>
      </c>
      <c r="AJ131" s="48" t="n">
        <f aca="false">M131*$X131</f>
        <v>0</v>
      </c>
      <c r="AK131" s="48" t="n">
        <f aca="false">N131*$X131</f>
        <v>0</v>
      </c>
      <c r="AL131" s="48" t="n">
        <f aca="false">O131*$X131</f>
        <v>0</v>
      </c>
      <c r="AM131" s="48" t="n">
        <f aca="false">P131*$X131</f>
        <v>0</v>
      </c>
      <c r="AN131" s="48" t="n">
        <f aca="false">Q131*$X131</f>
        <v>0</v>
      </c>
      <c r="AO131" s="48" t="n">
        <f aca="false">R131*$X131</f>
        <v>0</v>
      </c>
      <c r="AP131" s="48" t="n">
        <f aca="false">S131*$X131</f>
        <v>0</v>
      </c>
      <c r="AQ131" s="48" t="n">
        <f aca="false">T131*$X131</f>
        <v>0</v>
      </c>
      <c r="AR131" s="48" t="n">
        <f aca="false">U131*$X131</f>
        <v>0</v>
      </c>
      <c r="AS131" s="48" t="n">
        <f aca="false">V131*$X131</f>
        <v>0</v>
      </c>
      <c r="AT131" s="48" t="n">
        <f aca="false">W131*$X131</f>
        <v>0</v>
      </c>
      <c r="AU131" s="48" t="n">
        <f aca="false">X131*$X131</f>
        <v>484</v>
      </c>
      <c r="AV131" s="48" t="n">
        <f aca="false">Y131*$X131</f>
        <v>0</v>
      </c>
      <c r="AW131" s="48" t="n">
        <f aca="false">Z131*$X131</f>
        <v>0</v>
      </c>
      <c r="AX131" s="48" t="n">
        <f aca="false">AA131*$X131</f>
        <v>0</v>
      </c>
      <c r="AY131" s="48" t="n">
        <f aca="false">AB131*$X131</f>
        <v>0</v>
      </c>
      <c r="AZ131" s="48" t="n">
        <f aca="false">AC131*$X131</f>
        <v>0</v>
      </c>
      <c r="BA131" s="1"/>
      <c r="BB131" s="1"/>
      <c r="BC131" s="1"/>
      <c r="BD131" s="1"/>
      <c r="BE131" s="1"/>
      <c r="BF131" s="1"/>
    </row>
    <row r="132" s="48" customFormat="true" ht="15" hidden="false" customHeight="true" outlineLevel="0" collapsed="false">
      <c r="A132" s="42" t="s">
        <v>201</v>
      </c>
      <c r="B132" s="42" t="n">
        <v>108</v>
      </c>
      <c r="C132" s="43"/>
      <c r="D132" s="44" t="n">
        <v>1</v>
      </c>
      <c r="E132" s="44" t="n">
        <v>52</v>
      </c>
      <c r="F132" s="44"/>
      <c r="G132" s="44"/>
      <c r="H132" s="44" t="n">
        <f aca="false">B132+D132+E132+F132+G132+C132</f>
        <v>161</v>
      </c>
      <c r="I132" s="45"/>
      <c r="J132" s="49"/>
      <c r="K132" s="49" t="n">
        <v>27</v>
      </c>
      <c r="L132" s="49"/>
      <c r="M132" s="49"/>
      <c r="N132" s="49" t="n">
        <v>114</v>
      </c>
      <c r="O132" s="49"/>
      <c r="P132" s="49" t="n">
        <v>16</v>
      </c>
      <c r="Q132" s="49"/>
      <c r="R132" s="49" t="n">
        <v>4</v>
      </c>
      <c r="S132" s="49"/>
      <c r="T132" s="49" t="n">
        <v>43</v>
      </c>
      <c r="U132" s="49" t="n">
        <v>21</v>
      </c>
      <c r="V132" s="47" t="n">
        <f aca="false">J132+K132+L132+M132+N132+O132+P132+Q132+R132+S132+T132+U132</f>
        <v>225</v>
      </c>
      <c r="W132" s="47" t="n">
        <f aca="false">H132-V132</f>
        <v>-64</v>
      </c>
      <c r="X132" s="48" t="n">
        <v>24.75</v>
      </c>
      <c r="Y132" s="48" t="n">
        <f aca="false">B132*$X132</f>
        <v>2673</v>
      </c>
      <c r="Z132" s="48" t="n">
        <f aca="false">C132*$X132</f>
        <v>0</v>
      </c>
      <c r="AA132" s="48" t="n">
        <f aca="false">D132*$X132</f>
        <v>24.75</v>
      </c>
      <c r="AB132" s="48" t="n">
        <f aca="false">E132*$X132</f>
        <v>1287</v>
      </c>
      <c r="AC132" s="48" t="n">
        <f aca="false">F132*$X132</f>
        <v>0</v>
      </c>
      <c r="AD132" s="48" t="n">
        <f aca="false">G132*$X132</f>
        <v>0</v>
      </c>
      <c r="AE132" s="48" t="n">
        <f aca="false">H132*$X132</f>
        <v>3984.75</v>
      </c>
      <c r="AF132" s="48" t="n">
        <f aca="false">I132*$X132</f>
        <v>0</v>
      </c>
      <c r="AG132" s="48" t="n">
        <f aca="false">J132*$X132</f>
        <v>0</v>
      </c>
      <c r="AH132" s="48" t="n">
        <f aca="false">K132*$X132</f>
        <v>668.25</v>
      </c>
      <c r="AI132" s="48" t="n">
        <f aca="false">L132*$X132</f>
        <v>0</v>
      </c>
      <c r="AJ132" s="48" t="n">
        <f aca="false">M132*$X132</f>
        <v>0</v>
      </c>
      <c r="AK132" s="48" t="n">
        <f aca="false">N132*$X132</f>
        <v>2821.5</v>
      </c>
      <c r="AL132" s="48" t="n">
        <f aca="false">O132*$X132</f>
        <v>0</v>
      </c>
      <c r="AM132" s="48" t="n">
        <f aca="false">P132*$X132</f>
        <v>396</v>
      </c>
      <c r="AN132" s="48" t="n">
        <f aca="false">Q132*$X132</f>
        <v>0</v>
      </c>
      <c r="AO132" s="48" t="n">
        <f aca="false">R132*$X132</f>
        <v>99</v>
      </c>
      <c r="AP132" s="48" t="n">
        <f aca="false">S132*$X132</f>
        <v>0</v>
      </c>
      <c r="AQ132" s="48" t="n">
        <f aca="false">T132*$X132</f>
        <v>1064.25</v>
      </c>
      <c r="AR132" s="48" t="n">
        <f aca="false">U132*$X132</f>
        <v>519.75</v>
      </c>
      <c r="AS132" s="48" t="n">
        <f aca="false">V132*$X132</f>
        <v>5568.75</v>
      </c>
      <c r="AT132" s="48" t="n">
        <f aca="false">W132*$X132</f>
        <v>-1584</v>
      </c>
      <c r="AU132" s="48" t="n">
        <f aca="false">X132*$X132</f>
        <v>612.5625</v>
      </c>
      <c r="AV132" s="48" t="n">
        <f aca="false">Y132*$X132</f>
        <v>66156.75</v>
      </c>
      <c r="AW132" s="48" t="n">
        <f aca="false">Z132*$X132</f>
        <v>0</v>
      </c>
      <c r="AX132" s="48" t="n">
        <f aca="false">AA132*$X132</f>
        <v>612.5625</v>
      </c>
      <c r="AY132" s="48" t="n">
        <f aca="false">AB132*$X132</f>
        <v>31853.25</v>
      </c>
      <c r="AZ132" s="48" t="n">
        <f aca="false">AC132*$X132</f>
        <v>0</v>
      </c>
      <c r="BA132" s="1"/>
      <c r="BB132" s="1"/>
      <c r="BC132" s="1"/>
      <c r="BD132" s="1"/>
      <c r="BE132" s="1"/>
      <c r="BF132" s="1"/>
    </row>
    <row r="133" s="48" customFormat="true" ht="15" hidden="false" customHeight="true" outlineLevel="0" collapsed="false">
      <c r="A133" s="42" t="s">
        <v>202</v>
      </c>
      <c r="B133" s="42" t="n">
        <v>0</v>
      </c>
      <c r="C133" s="43"/>
      <c r="D133" s="44"/>
      <c r="E133" s="44" t="n">
        <v>4</v>
      </c>
      <c r="F133" s="44"/>
      <c r="G133" s="44"/>
      <c r="H133" s="44" t="n">
        <f aca="false">B133+D133+E133+F133+G133+C133</f>
        <v>4</v>
      </c>
      <c r="I133" s="45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7" t="n">
        <f aca="false">J133+K133+L133+M133+N133+O133+P133+Q133+R133+S133+T133+U133</f>
        <v>0</v>
      </c>
      <c r="W133" s="47" t="n">
        <f aca="false">H133-V133</f>
        <v>4</v>
      </c>
      <c r="X133" s="48" t="n">
        <v>24.75</v>
      </c>
      <c r="Y133" s="48" t="n">
        <f aca="false">B133*$X133</f>
        <v>0</v>
      </c>
      <c r="Z133" s="48" t="n">
        <f aca="false">C133*$X133</f>
        <v>0</v>
      </c>
      <c r="AA133" s="48" t="n">
        <f aca="false">D133*$X133</f>
        <v>0</v>
      </c>
      <c r="AB133" s="48" t="n">
        <f aca="false">E133*$X133</f>
        <v>99</v>
      </c>
      <c r="AC133" s="48" t="n">
        <f aca="false">F133*$X133</f>
        <v>0</v>
      </c>
      <c r="AD133" s="48" t="n">
        <f aca="false">G133*$X133</f>
        <v>0</v>
      </c>
      <c r="AE133" s="48" t="n">
        <f aca="false">H133*$X133</f>
        <v>99</v>
      </c>
      <c r="AF133" s="48" t="n">
        <f aca="false">I133*$X133</f>
        <v>0</v>
      </c>
      <c r="AG133" s="48" t="n">
        <f aca="false">J133*$X133</f>
        <v>0</v>
      </c>
      <c r="AH133" s="48" t="n">
        <f aca="false">K133*$X133</f>
        <v>0</v>
      </c>
      <c r="AI133" s="48" t="n">
        <f aca="false">L133*$X133</f>
        <v>0</v>
      </c>
      <c r="AJ133" s="48" t="n">
        <f aca="false">M133*$X133</f>
        <v>0</v>
      </c>
      <c r="AK133" s="48" t="n">
        <f aca="false">N133*$X133</f>
        <v>0</v>
      </c>
      <c r="AL133" s="48" t="n">
        <f aca="false">O133*$X133</f>
        <v>0</v>
      </c>
      <c r="AM133" s="48" t="n">
        <f aca="false">P133*$X133</f>
        <v>0</v>
      </c>
      <c r="AN133" s="48" t="n">
        <f aca="false">Q133*$X133</f>
        <v>0</v>
      </c>
      <c r="AO133" s="48" t="n">
        <f aca="false">R133*$X133</f>
        <v>0</v>
      </c>
      <c r="AP133" s="48" t="n">
        <f aca="false">S133*$X133</f>
        <v>0</v>
      </c>
      <c r="AQ133" s="48" t="n">
        <f aca="false">T133*$X133</f>
        <v>0</v>
      </c>
      <c r="AR133" s="48" t="n">
        <f aca="false">U133*$X133</f>
        <v>0</v>
      </c>
      <c r="AS133" s="48" t="n">
        <f aca="false">V133*$X133</f>
        <v>0</v>
      </c>
      <c r="AT133" s="48" t="n">
        <f aca="false">W133*$X133</f>
        <v>99</v>
      </c>
      <c r="AU133" s="48" t="n">
        <f aca="false">X133*$X133</f>
        <v>612.5625</v>
      </c>
      <c r="AV133" s="48" t="n">
        <f aca="false">Y133*$X133</f>
        <v>0</v>
      </c>
      <c r="AW133" s="48" t="n">
        <f aca="false">Z133*$X133</f>
        <v>0</v>
      </c>
      <c r="AX133" s="48" t="n">
        <f aca="false">AA133*$X133</f>
        <v>0</v>
      </c>
      <c r="AY133" s="48" t="n">
        <f aca="false">AB133*$X133</f>
        <v>2450.25</v>
      </c>
      <c r="AZ133" s="48" t="n">
        <f aca="false">AC133*$X133</f>
        <v>0</v>
      </c>
      <c r="BA133" s="1"/>
      <c r="BB133" s="1"/>
      <c r="BC133" s="1"/>
      <c r="BD133" s="1"/>
      <c r="BE133" s="1"/>
      <c r="BF133" s="1"/>
    </row>
    <row r="134" s="48" customFormat="true" ht="15" hidden="false" customHeight="true" outlineLevel="0" collapsed="false">
      <c r="A134" s="42" t="s">
        <v>203</v>
      </c>
      <c r="B134" s="42" t="n">
        <v>0</v>
      </c>
      <c r="C134" s="43"/>
      <c r="D134" s="44"/>
      <c r="E134" s="44"/>
      <c r="F134" s="44"/>
      <c r="G134" s="44"/>
      <c r="H134" s="44" t="n">
        <f aca="false">B134+D134+E134+F134+G134+C134</f>
        <v>0</v>
      </c>
      <c r="I134" s="45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7" t="n">
        <f aca="false">J134+K134+L134+M134+N134+O134+P134+Q134+R134+S134+T134+U134</f>
        <v>0</v>
      </c>
      <c r="W134" s="47" t="n">
        <f aca="false">H134-V134</f>
        <v>0</v>
      </c>
      <c r="X134" s="48" t="n">
        <v>27</v>
      </c>
      <c r="Y134" s="48" t="n">
        <f aca="false">B134*$X134</f>
        <v>0</v>
      </c>
      <c r="Z134" s="48" t="n">
        <f aca="false">C134*$X134</f>
        <v>0</v>
      </c>
      <c r="AA134" s="48" t="n">
        <f aca="false">D134*$X134</f>
        <v>0</v>
      </c>
      <c r="AB134" s="48" t="n">
        <f aca="false">E134*$X134</f>
        <v>0</v>
      </c>
      <c r="AC134" s="48" t="n">
        <f aca="false">F134*$X134</f>
        <v>0</v>
      </c>
      <c r="AD134" s="48" t="n">
        <f aca="false">G134*$X134</f>
        <v>0</v>
      </c>
      <c r="AE134" s="48" t="n">
        <f aca="false">H134*$X134</f>
        <v>0</v>
      </c>
      <c r="AF134" s="48" t="n">
        <f aca="false">I134*$X134</f>
        <v>0</v>
      </c>
      <c r="AG134" s="48" t="n">
        <f aca="false">J134*$X134</f>
        <v>0</v>
      </c>
      <c r="AH134" s="48" t="n">
        <f aca="false">K134*$X134</f>
        <v>0</v>
      </c>
      <c r="AI134" s="48" t="n">
        <f aca="false">L134*$X134</f>
        <v>0</v>
      </c>
      <c r="AJ134" s="48" t="n">
        <f aca="false">M134*$X134</f>
        <v>0</v>
      </c>
      <c r="AK134" s="48" t="n">
        <f aca="false">N134*$X134</f>
        <v>0</v>
      </c>
      <c r="AL134" s="48" t="n">
        <f aca="false">O134*$X134</f>
        <v>0</v>
      </c>
      <c r="AM134" s="48" t="n">
        <f aca="false">P134*$X134</f>
        <v>0</v>
      </c>
      <c r="AN134" s="48" t="n">
        <f aca="false">Q134*$X134</f>
        <v>0</v>
      </c>
      <c r="AO134" s="48" t="n">
        <f aca="false">R134*$X134</f>
        <v>0</v>
      </c>
      <c r="AP134" s="48" t="n">
        <f aca="false">S134*$X134</f>
        <v>0</v>
      </c>
      <c r="AQ134" s="48" t="n">
        <f aca="false">T134*$X134</f>
        <v>0</v>
      </c>
      <c r="AR134" s="48" t="n">
        <f aca="false">U134*$X134</f>
        <v>0</v>
      </c>
      <c r="AS134" s="48" t="n">
        <f aca="false">V134*$X134</f>
        <v>0</v>
      </c>
      <c r="AT134" s="48" t="n">
        <f aca="false">W134*$X134</f>
        <v>0</v>
      </c>
      <c r="AU134" s="48" t="n">
        <f aca="false">X134*$X134</f>
        <v>729</v>
      </c>
      <c r="AV134" s="48" t="n">
        <f aca="false">Y134*$X134</f>
        <v>0</v>
      </c>
      <c r="AW134" s="48" t="n">
        <f aca="false">Z134*$X134</f>
        <v>0</v>
      </c>
      <c r="AX134" s="48" t="n">
        <f aca="false">AA134*$X134</f>
        <v>0</v>
      </c>
      <c r="AY134" s="48" t="n">
        <f aca="false">AB134*$X134</f>
        <v>0</v>
      </c>
      <c r="AZ134" s="48" t="n">
        <f aca="false">AC134*$X134</f>
        <v>0</v>
      </c>
      <c r="BA134" s="1"/>
      <c r="BB134" s="1"/>
      <c r="BC134" s="1"/>
      <c r="BD134" s="1"/>
      <c r="BE134" s="1"/>
      <c r="BF134" s="1"/>
    </row>
    <row r="135" s="48" customFormat="true" ht="15" hidden="false" customHeight="true" outlineLevel="0" collapsed="false">
      <c r="A135" s="42" t="s">
        <v>204</v>
      </c>
      <c r="B135" s="42" t="n">
        <v>2</v>
      </c>
      <c r="C135" s="43"/>
      <c r="D135" s="44"/>
      <c r="E135" s="44"/>
      <c r="F135" s="44"/>
      <c r="G135" s="44"/>
      <c r="H135" s="44" t="n">
        <f aca="false">B135+D135+E135+F135+G135+C135</f>
        <v>2</v>
      </c>
      <c r="I135" s="45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7" t="n">
        <f aca="false">J135+K135+L135+M135+N135+O135+P135+Q135+R135+S135+T135+U135</f>
        <v>0</v>
      </c>
      <c r="W135" s="47" t="n">
        <f aca="false">H135-V135</f>
        <v>2</v>
      </c>
      <c r="X135" s="48" t="n">
        <v>67.5</v>
      </c>
      <c r="Y135" s="48" t="n">
        <f aca="false">B135*$X135</f>
        <v>135</v>
      </c>
      <c r="Z135" s="48" t="n">
        <f aca="false">C135*$X135</f>
        <v>0</v>
      </c>
      <c r="AA135" s="48" t="n">
        <f aca="false">D135*$X135</f>
        <v>0</v>
      </c>
      <c r="AB135" s="48" t="n">
        <f aca="false">E135*$X135</f>
        <v>0</v>
      </c>
      <c r="AC135" s="48" t="n">
        <f aca="false">F135*$X135</f>
        <v>0</v>
      </c>
      <c r="AD135" s="48" t="n">
        <f aca="false">G135*$X135</f>
        <v>0</v>
      </c>
      <c r="AE135" s="48" t="n">
        <f aca="false">H135*$X135</f>
        <v>135</v>
      </c>
      <c r="AF135" s="48" t="n">
        <f aca="false">I135*$X135</f>
        <v>0</v>
      </c>
      <c r="AG135" s="48" t="n">
        <f aca="false">J135*$X135</f>
        <v>0</v>
      </c>
      <c r="AH135" s="48" t="n">
        <f aca="false">K135*$X135</f>
        <v>0</v>
      </c>
      <c r="AI135" s="48" t="n">
        <f aca="false">L135*$X135</f>
        <v>0</v>
      </c>
      <c r="AJ135" s="48" t="n">
        <f aca="false">M135*$X135</f>
        <v>0</v>
      </c>
      <c r="AK135" s="48" t="n">
        <f aca="false">N135*$X135</f>
        <v>0</v>
      </c>
      <c r="AL135" s="48" t="n">
        <f aca="false">O135*$X135</f>
        <v>0</v>
      </c>
      <c r="AM135" s="48" t="n">
        <f aca="false">P135*$X135</f>
        <v>0</v>
      </c>
      <c r="AN135" s="48" t="n">
        <f aca="false">Q135*$X135</f>
        <v>0</v>
      </c>
      <c r="AO135" s="48" t="n">
        <f aca="false">R135*$X135</f>
        <v>0</v>
      </c>
      <c r="AP135" s="48" t="n">
        <f aca="false">S135*$X135</f>
        <v>0</v>
      </c>
      <c r="AQ135" s="48" t="n">
        <f aca="false">T135*$X135</f>
        <v>0</v>
      </c>
      <c r="AR135" s="48" t="n">
        <f aca="false">U135*$X135</f>
        <v>0</v>
      </c>
      <c r="AS135" s="48" t="n">
        <f aca="false">V135*$X135</f>
        <v>0</v>
      </c>
      <c r="AT135" s="48" t="n">
        <f aca="false">W135*$X135</f>
        <v>135</v>
      </c>
      <c r="AU135" s="48" t="n">
        <f aca="false">X135*$X135</f>
        <v>4556.25</v>
      </c>
      <c r="AV135" s="48" t="n">
        <f aca="false">Y135*$X135</f>
        <v>9112.5</v>
      </c>
      <c r="AW135" s="48" t="n">
        <f aca="false">Z135*$X135</f>
        <v>0</v>
      </c>
      <c r="AX135" s="48" t="n">
        <f aca="false">AA135*$X135</f>
        <v>0</v>
      </c>
      <c r="AY135" s="48" t="n">
        <f aca="false">AB135*$X135</f>
        <v>0</v>
      </c>
      <c r="AZ135" s="48" t="n">
        <f aca="false">AC135*$X135</f>
        <v>0</v>
      </c>
      <c r="BA135" s="1"/>
      <c r="BB135" s="1"/>
      <c r="BC135" s="1"/>
      <c r="BD135" s="1"/>
      <c r="BE135" s="1"/>
      <c r="BF135" s="1"/>
    </row>
    <row r="136" s="48" customFormat="true" ht="15" hidden="false" customHeight="true" outlineLevel="0" collapsed="false">
      <c r="A136" s="42" t="s">
        <v>205</v>
      </c>
      <c r="B136" s="42" t="n">
        <v>4</v>
      </c>
      <c r="C136" s="43"/>
      <c r="D136" s="44"/>
      <c r="E136" s="44"/>
      <c r="F136" s="44"/>
      <c r="G136" s="44"/>
      <c r="H136" s="44" t="n">
        <f aca="false">B136+D136+E136+F136+G136+C136</f>
        <v>4</v>
      </c>
      <c r="I136" s="45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7" t="n">
        <f aca="false">J136+K136+L136+M136+N136+O136+P136+Q136+R136+S136+T136+U136</f>
        <v>0</v>
      </c>
      <c r="W136" s="47" t="n">
        <f aca="false">H136-V136</f>
        <v>4</v>
      </c>
      <c r="X136" s="48" t="n">
        <v>135</v>
      </c>
      <c r="Y136" s="48" t="n">
        <f aca="false">B136*$X136</f>
        <v>540</v>
      </c>
      <c r="Z136" s="48" t="n">
        <f aca="false">C136*$X136</f>
        <v>0</v>
      </c>
      <c r="AA136" s="48" t="n">
        <f aca="false">D136*$X136</f>
        <v>0</v>
      </c>
      <c r="AB136" s="48" t="n">
        <f aca="false">E136*$X136</f>
        <v>0</v>
      </c>
      <c r="AC136" s="48" t="n">
        <f aca="false">F136*$X136</f>
        <v>0</v>
      </c>
      <c r="AD136" s="48" t="n">
        <f aca="false">G136*$X136</f>
        <v>0</v>
      </c>
      <c r="AE136" s="48" t="n">
        <f aca="false">H136*$X136</f>
        <v>540</v>
      </c>
      <c r="AF136" s="48" t="n">
        <f aca="false">I136*$X136</f>
        <v>0</v>
      </c>
      <c r="AG136" s="48" t="n">
        <f aca="false">J136*$X136</f>
        <v>0</v>
      </c>
      <c r="AH136" s="48" t="n">
        <f aca="false">K136*$X136</f>
        <v>0</v>
      </c>
      <c r="AI136" s="48" t="n">
        <f aca="false">L136*$X136</f>
        <v>0</v>
      </c>
      <c r="AJ136" s="48" t="n">
        <f aca="false">M136*$X136</f>
        <v>0</v>
      </c>
      <c r="AK136" s="48" t="n">
        <f aca="false">N136*$X136</f>
        <v>0</v>
      </c>
      <c r="AL136" s="48" t="n">
        <f aca="false">O136*$X136</f>
        <v>0</v>
      </c>
      <c r="AM136" s="48" t="n">
        <f aca="false">P136*$X136</f>
        <v>0</v>
      </c>
      <c r="AN136" s="48" t="n">
        <f aca="false">Q136*$X136</f>
        <v>0</v>
      </c>
      <c r="AO136" s="48" t="n">
        <f aca="false">R136*$X136</f>
        <v>0</v>
      </c>
      <c r="AP136" s="48" t="n">
        <f aca="false">S136*$X136</f>
        <v>0</v>
      </c>
      <c r="AQ136" s="48" t="n">
        <f aca="false">T136*$X136</f>
        <v>0</v>
      </c>
      <c r="AR136" s="48" t="n">
        <f aca="false">U136*$X136</f>
        <v>0</v>
      </c>
      <c r="AS136" s="48" t="n">
        <f aca="false">V136*$X136</f>
        <v>0</v>
      </c>
      <c r="AT136" s="48" t="n">
        <f aca="false">W136*$X136</f>
        <v>540</v>
      </c>
      <c r="AU136" s="48" t="n">
        <f aca="false">X136*$X136</f>
        <v>18225</v>
      </c>
      <c r="AV136" s="48" t="n">
        <f aca="false">Y136*$X136</f>
        <v>72900</v>
      </c>
      <c r="AW136" s="48" t="n">
        <f aca="false">Z136*$X136</f>
        <v>0</v>
      </c>
      <c r="AX136" s="48" t="n">
        <f aca="false">AA136*$X136</f>
        <v>0</v>
      </c>
      <c r="AY136" s="48" t="n">
        <f aca="false">AB136*$X136</f>
        <v>0</v>
      </c>
      <c r="AZ136" s="48" t="n">
        <f aca="false">AC136*$X136</f>
        <v>0</v>
      </c>
      <c r="BA136" s="1"/>
      <c r="BB136" s="1"/>
      <c r="BC136" s="1"/>
      <c r="BD136" s="1"/>
      <c r="BE136" s="1"/>
      <c r="BF136" s="1"/>
    </row>
    <row r="137" s="48" customFormat="true" ht="15" hidden="false" customHeight="true" outlineLevel="0" collapsed="false">
      <c r="A137" s="42" t="s">
        <v>206</v>
      </c>
      <c r="B137" s="42" t="n">
        <v>2</v>
      </c>
      <c r="C137" s="43"/>
      <c r="D137" s="44"/>
      <c r="E137" s="44"/>
      <c r="F137" s="44"/>
      <c r="G137" s="44"/>
      <c r="H137" s="44" t="n">
        <f aca="false">B137+D137+E137+F137+G137+C137</f>
        <v>2</v>
      </c>
      <c r="I137" s="45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7" t="n">
        <f aca="false">J137+K137+L137+M137+N137+O137+P137+Q137+R137+S137+T137+U137</f>
        <v>0</v>
      </c>
      <c r="W137" s="47" t="n">
        <f aca="false">H137-V137</f>
        <v>2</v>
      </c>
      <c r="X137" s="48" t="n">
        <v>169.8</v>
      </c>
      <c r="Y137" s="48" t="n">
        <f aca="false">B137*$X137</f>
        <v>339.6</v>
      </c>
      <c r="Z137" s="48" t="n">
        <f aca="false">C137*$X137</f>
        <v>0</v>
      </c>
      <c r="AA137" s="48" t="n">
        <f aca="false">D137*$X137</f>
        <v>0</v>
      </c>
      <c r="AB137" s="48" t="n">
        <f aca="false">E137*$X137</f>
        <v>0</v>
      </c>
      <c r="AC137" s="48" t="n">
        <f aca="false">F137*$X137</f>
        <v>0</v>
      </c>
      <c r="AD137" s="48" t="n">
        <f aca="false">G137*$X137</f>
        <v>0</v>
      </c>
      <c r="AE137" s="48" t="n">
        <f aca="false">H137*$X137</f>
        <v>339.6</v>
      </c>
      <c r="AF137" s="48" t="n">
        <f aca="false">I137*$X137</f>
        <v>0</v>
      </c>
      <c r="AG137" s="48" t="n">
        <f aca="false">J137*$X137</f>
        <v>0</v>
      </c>
      <c r="AH137" s="48" t="n">
        <f aca="false">K137*$X137</f>
        <v>0</v>
      </c>
      <c r="AI137" s="48" t="n">
        <f aca="false">L137*$X137</f>
        <v>0</v>
      </c>
      <c r="AJ137" s="48" t="n">
        <f aca="false">M137*$X137</f>
        <v>0</v>
      </c>
      <c r="AK137" s="48" t="n">
        <f aca="false">N137*$X137</f>
        <v>0</v>
      </c>
      <c r="AL137" s="48" t="n">
        <f aca="false">O137*$X137</f>
        <v>0</v>
      </c>
      <c r="AM137" s="48" t="n">
        <f aca="false">P137*$X137</f>
        <v>0</v>
      </c>
      <c r="AN137" s="48" t="n">
        <f aca="false">Q137*$X137</f>
        <v>0</v>
      </c>
      <c r="AO137" s="48" t="n">
        <f aca="false">R137*$X137</f>
        <v>0</v>
      </c>
      <c r="AP137" s="48" t="n">
        <f aca="false">S137*$X137</f>
        <v>0</v>
      </c>
      <c r="AQ137" s="48" t="n">
        <f aca="false">T137*$X137</f>
        <v>0</v>
      </c>
      <c r="AR137" s="48" t="n">
        <f aca="false">U137*$X137</f>
        <v>0</v>
      </c>
      <c r="AS137" s="48" t="n">
        <f aca="false">V137*$X137</f>
        <v>0</v>
      </c>
      <c r="AT137" s="48" t="n">
        <f aca="false">W137*$X137</f>
        <v>339.6</v>
      </c>
      <c r="AU137" s="48" t="n">
        <f aca="false">X137*$X137</f>
        <v>28832.04</v>
      </c>
      <c r="AV137" s="48" t="n">
        <f aca="false">Y137*$X137</f>
        <v>57664.08</v>
      </c>
      <c r="AW137" s="48" t="n">
        <f aca="false">Z137*$X137</f>
        <v>0</v>
      </c>
      <c r="AX137" s="48" t="n">
        <f aca="false">AA137*$X137</f>
        <v>0</v>
      </c>
      <c r="AY137" s="48" t="n">
        <f aca="false">AB137*$X137</f>
        <v>0</v>
      </c>
      <c r="AZ137" s="48" t="n">
        <f aca="false">AC137*$X137</f>
        <v>0</v>
      </c>
      <c r="BA137" s="1"/>
      <c r="BB137" s="1"/>
      <c r="BC137" s="1"/>
      <c r="BD137" s="1"/>
      <c r="BE137" s="1"/>
      <c r="BF137" s="1"/>
    </row>
    <row r="138" s="48" customFormat="true" ht="15" hidden="false" customHeight="true" outlineLevel="0" collapsed="false">
      <c r="A138" s="42" t="s">
        <v>207</v>
      </c>
      <c r="B138" s="42" t="n">
        <v>164</v>
      </c>
      <c r="C138" s="43" t="n">
        <v>17</v>
      </c>
      <c r="D138" s="44" t="n">
        <v>7</v>
      </c>
      <c r="E138" s="44" t="n">
        <v>193</v>
      </c>
      <c r="F138" s="44"/>
      <c r="G138" s="44" t="n">
        <v>460</v>
      </c>
      <c r="H138" s="44" t="n">
        <f aca="false">B138+D138+E138+F138+G138+C138</f>
        <v>841</v>
      </c>
      <c r="I138" s="45"/>
      <c r="J138" s="49"/>
      <c r="K138" s="49"/>
      <c r="L138" s="49"/>
      <c r="M138" s="49"/>
      <c r="N138" s="49"/>
      <c r="O138" s="49" t="n">
        <v>20</v>
      </c>
      <c r="P138" s="49" t="n">
        <v>147</v>
      </c>
      <c r="Q138" s="49" t="n">
        <v>50</v>
      </c>
      <c r="R138" s="49" t="n">
        <v>60</v>
      </c>
      <c r="S138" s="49" t="n">
        <v>22</v>
      </c>
      <c r="T138" s="49"/>
      <c r="U138" s="49"/>
      <c r="V138" s="47" t="n">
        <f aca="false">J138+K138+L138+M138+N138+O138+P138+Q138+R138+S138+T138+U138</f>
        <v>299</v>
      </c>
      <c r="W138" s="47" t="n">
        <f aca="false">H138-V138</f>
        <v>542</v>
      </c>
      <c r="X138" s="48" t="n">
        <v>0.22</v>
      </c>
      <c r="Y138" s="48" t="n">
        <f aca="false">B138*$X138</f>
        <v>36.08</v>
      </c>
      <c r="Z138" s="48" t="n">
        <f aca="false">C138*$X138</f>
        <v>3.74</v>
      </c>
      <c r="AA138" s="48" t="n">
        <f aca="false">D138*$X138</f>
        <v>1.54</v>
      </c>
      <c r="AB138" s="48" t="n">
        <f aca="false">E138*$X138</f>
        <v>42.46</v>
      </c>
      <c r="AC138" s="48" t="n">
        <f aca="false">F138*$X138</f>
        <v>0</v>
      </c>
      <c r="AD138" s="48" t="n">
        <f aca="false">G138*$X138</f>
        <v>101.2</v>
      </c>
      <c r="AE138" s="48" t="n">
        <f aca="false">H138*$X138</f>
        <v>185.02</v>
      </c>
      <c r="AF138" s="48" t="n">
        <f aca="false">I138*$X138</f>
        <v>0</v>
      </c>
      <c r="AG138" s="48" t="n">
        <f aca="false">J138*$X138</f>
        <v>0</v>
      </c>
      <c r="AH138" s="48" t="n">
        <f aca="false">K138*$X138</f>
        <v>0</v>
      </c>
      <c r="AI138" s="48" t="n">
        <f aca="false">L138*$X138</f>
        <v>0</v>
      </c>
      <c r="AJ138" s="48" t="n">
        <f aca="false">M138*$X138</f>
        <v>0</v>
      </c>
      <c r="AK138" s="48" t="n">
        <f aca="false">N138*$X138</f>
        <v>0</v>
      </c>
      <c r="AL138" s="48" t="n">
        <f aca="false">O138*$X138</f>
        <v>4.4</v>
      </c>
      <c r="AM138" s="48" t="n">
        <f aca="false">P138*$X138</f>
        <v>32.34</v>
      </c>
      <c r="AN138" s="48" t="n">
        <f aca="false">Q138*$X138</f>
        <v>11</v>
      </c>
      <c r="AO138" s="48" t="n">
        <f aca="false">R138*$X138</f>
        <v>13.2</v>
      </c>
      <c r="AP138" s="48" t="n">
        <f aca="false">S138*$X138</f>
        <v>4.84</v>
      </c>
      <c r="AQ138" s="48" t="n">
        <f aca="false">T138*$X138</f>
        <v>0</v>
      </c>
      <c r="AR138" s="48" t="n">
        <f aca="false">U138*$X138</f>
        <v>0</v>
      </c>
      <c r="AS138" s="48" t="n">
        <f aca="false">V138*$X138</f>
        <v>65.78</v>
      </c>
      <c r="AT138" s="48" t="n">
        <f aca="false">W138*$X138</f>
        <v>119.24</v>
      </c>
      <c r="AU138" s="48" t="n">
        <f aca="false">X138*$X138</f>
        <v>0.0484</v>
      </c>
      <c r="AV138" s="48" t="n">
        <f aca="false">Y138*$X138</f>
        <v>7.9376</v>
      </c>
      <c r="AW138" s="48" t="n">
        <f aca="false">Z138*$X138</f>
        <v>0.8228</v>
      </c>
      <c r="AX138" s="48" t="n">
        <f aca="false">AA138*$X138</f>
        <v>0.3388</v>
      </c>
      <c r="AY138" s="48" t="n">
        <f aca="false">AB138*$X138</f>
        <v>9.3412</v>
      </c>
      <c r="AZ138" s="48" t="n">
        <f aca="false">AC138*$X138</f>
        <v>0</v>
      </c>
      <c r="BA138" s="1"/>
      <c r="BB138" s="1"/>
      <c r="BC138" s="1"/>
      <c r="BD138" s="1"/>
      <c r="BE138" s="1"/>
      <c r="BF138" s="1"/>
    </row>
    <row r="139" s="48" customFormat="true" ht="15" hidden="false" customHeight="true" outlineLevel="0" collapsed="false">
      <c r="A139" s="42" t="s">
        <v>208</v>
      </c>
      <c r="B139" s="42" t="n">
        <v>0</v>
      </c>
      <c r="C139" s="43"/>
      <c r="D139" s="44"/>
      <c r="E139" s="44"/>
      <c r="F139" s="44"/>
      <c r="G139" s="44"/>
      <c r="H139" s="44" t="n">
        <f aca="false">B139+D139+E139+F139+G139+C139</f>
        <v>0</v>
      </c>
      <c r="I139" s="45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7" t="n">
        <f aca="false">J139+K139+L139+M139+N139+O139+P139+Q139+R139+S139+T139+U139</f>
        <v>0</v>
      </c>
      <c r="W139" s="47" t="n">
        <f aca="false">H139-V139</f>
        <v>0</v>
      </c>
      <c r="X139" s="48" t="n">
        <v>0.22</v>
      </c>
      <c r="Y139" s="48" t="n">
        <f aca="false">B139*$X139</f>
        <v>0</v>
      </c>
      <c r="Z139" s="48" t="n">
        <f aca="false">C139*$X139</f>
        <v>0</v>
      </c>
      <c r="AA139" s="48" t="n">
        <f aca="false">D139*$X139</f>
        <v>0</v>
      </c>
      <c r="AB139" s="48" t="n">
        <f aca="false">E139*$X139</f>
        <v>0</v>
      </c>
      <c r="AC139" s="48" t="n">
        <f aca="false">F139*$X139</f>
        <v>0</v>
      </c>
      <c r="AD139" s="48" t="n">
        <f aca="false">G139*$X139</f>
        <v>0</v>
      </c>
      <c r="AE139" s="48" t="n">
        <f aca="false">H139*$X139</f>
        <v>0</v>
      </c>
      <c r="AF139" s="48" t="n">
        <f aca="false">I139*$X139</f>
        <v>0</v>
      </c>
      <c r="AG139" s="48" t="n">
        <f aca="false">J139*$X139</f>
        <v>0</v>
      </c>
      <c r="AH139" s="48" t="n">
        <f aca="false">K139*$X139</f>
        <v>0</v>
      </c>
      <c r="AI139" s="48" t="n">
        <f aca="false">L139*$X139</f>
        <v>0</v>
      </c>
      <c r="AJ139" s="48" t="n">
        <f aca="false">M139*$X139</f>
        <v>0</v>
      </c>
      <c r="AK139" s="48" t="n">
        <f aca="false">N139*$X139</f>
        <v>0</v>
      </c>
      <c r="AL139" s="48" t="n">
        <f aca="false">O139*$X139</f>
        <v>0</v>
      </c>
      <c r="AM139" s="48" t="n">
        <f aca="false">P139*$X139</f>
        <v>0</v>
      </c>
      <c r="AN139" s="48" t="n">
        <f aca="false">Q139*$X139</f>
        <v>0</v>
      </c>
      <c r="AO139" s="48" t="n">
        <f aca="false">R139*$X139</f>
        <v>0</v>
      </c>
      <c r="AP139" s="48" t="n">
        <f aca="false">S139*$X139</f>
        <v>0</v>
      </c>
      <c r="AQ139" s="48" t="n">
        <f aca="false">T139*$X139</f>
        <v>0</v>
      </c>
      <c r="AR139" s="48" t="n">
        <f aca="false">U139*$X139</f>
        <v>0</v>
      </c>
      <c r="AS139" s="48" t="n">
        <f aca="false">V139*$X139</f>
        <v>0</v>
      </c>
      <c r="AT139" s="48" t="n">
        <f aca="false">W139*$X139</f>
        <v>0</v>
      </c>
      <c r="AU139" s="48" t="n">
        <f aca="false">X139*$X139</f>
        <v>0.0484</v>
      </c>
      <c r="AV139" s="48" t="n">
        <f aca="false">Y139*$X139</f>
        <v>0</v>
      </c>
      <c r="AW139" s="48" t="n">
        <f aca="false">Z139*$X139</f>
        <v>0</v>
      </c>
      <c r="AX139" s="48" t="n">
        <f aca="false">AA139*$X139</f>
        <v>0</v>
      </c>
      <c r="AY139" s="48" t="n">
        <f aca="false">AB139*$X139</f>
        <v>0</v>
      </c>
      <c r="AZ139" s="48" t="n">
        <f aca="false">AC139*$X139</f>
        <v>0</v>
      </c>
      <c r="BA139" s="1"/>
      <c r="BB139" s="1"/>
      <c r="BC139" s="1"/>
      <c r="BD139" s="1"/>
      <c r="BE139" s="1"/>
      <c r="BF139" s="1"/>
    </row>
    <row r="140" s="48" customFormat="true" ht="15" hidden="false" customHeight="true" outlineLevel="0" collapsed="false">
      <c r="A140" s="42" t="s">
        <v>209</v>
      </c>
      <c r="B140" s="42" t="n">
        <v>0</v>
      </c>
      <c r="C140" s="43"/>
      <c r="D140" s="44"/>
      <c r="E140" s="44"/>
      <c r="F140" s="44"/>
      <c r="G140" s="44"/>
      <c r="H140" s="44" t="n">
        <f aca="false">B140+D140+E140+F140+G140+C140</f>
        <v>0</v>
      </c>
      <c r="I140" s="45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7" t="n">
        <f aca="false">J140+K140+L140+M140+N140+O140+P140+Q140+R140+S140+T140+U140</f>
        <v>0</v>
      </c>
      <c r="W140" s="47" t="n">
        <f aca="false">H140-V140</f>
        <v>0</v>
      </c>
      <c r="X140" s="48" t="n">
        <v>0.22</v>
      </c>
      <c r="Y140" s="48" t="n">
        <f aca="false">B140*$X140</f>
        <v>0</v>
      </c>
      <c r="Z140" s="48" t="n">
        <f aca="false">C140*$X140</f>
        <v>0</v>
      </c>
      <c r="AA140" s="48" t="n">
        <f aca="false">D140*$X140</f>
        <v>0</v>
      </c>
      <c r="AB140" s="48" t="n">
        <f aca="false">E140*$X140</f>
        <v>0</v>
      </c>
      <c r="AC140" s="48" t="n">
        <f aca="false">F140*$X140</f>
        <v>0</v>
      </c>
      <c r="AD140" s="48" t="n">
        <f aca="false">G140*$X140</f>
        <v>0</v>
      </c>
      <c r="AE140" s="48" t="n">
        <f aca="false">H140*$X140</f>
        <v>0</v>
      </c>
      <c r="AF140" s="48" t="n">
        <f aca="false">I140*$X140</f>
        <v>0</v>
      </c>
      <c r="AG140" s="48" t="n">
        <f aca="false">J140*$X140</f>
        <v>0</v>
      </c>
      <c r="AH140" s="48" t="n">
        <f aca="false">K140*$X140</f>
        <v>0</v>
      </c>
      <c r="AI140" s="48" t="n">
        <f aca="false">L140*$X140</f>
        <v>0</v>
      </c>
      <c r="AJ140" s="48" t="n">
        <f aca="false">M140*$X140</f>
        <v>0</v>
      </c>
      <c r="AK140" s="48" t="n">
        <f aca="false">N140*$X140</f>
        <v>0</v>
      </c>
      <c r="AL140" s="48" t="n">
        <f aca="false">O140*$X140</f>
        <v>0</v>
      </c>
      <c r="AM140" s="48" t="n">
        <f aca="false">P140*$X140</f>
        <v>0</v>
      </c>
      <c r="AN140" s="48" t="n">
        <f aca="false">Q140*$X140</f>
        <v>0</v>
      </c>
      <c r="AO140" s="48" t="n">
        <f aca="false">R140*$X140</f>
        <v>0</v>
      </c>
      <c r="AP140" s="48" t="n">
        <f aca="false">S140*$X140</f>
        <v>0</v>
      </c>
      <c r="AQ140" s="48" t="n">
        <f aca="false">T140*$X140</f>
        <v>0</v>
      </c>
      <c r="AR140" s="48" t="n">
        <f aca="false">U140*$X140</f>
        <v>0</v>
      </c>
      <c r="AS140" s="48" t="n">
        <f aca="false">V140*$X140</f>
        <v>0</v>
      </c>
      <c r="AT140" s="48" t="n">
        <f aca="false">W140*$X140</f>
        <v>0</v>
      </c>
      <c r="AU140" s="48" t="n">
        <f aca="false">X140*$X140</f>
        <v>0.0484</v>
      </c>
      <c r="AV140" s="48" t="n">
        <f aca="false">Y140*$X140</f>
        <v>0</v>
      </c>
      <c r="AW140" s="48" t="n">
        <f aca="false">Z140*$X140</f>
        <v>0</v>
      </c>
      <c r="AX140" s="48" t="n">
        <f aca="false">AA140*$X140</f>
        <v>0</v>
      </c>
      <c r="AY140" s="48" t="n">
        <f aca="false">AB140*$X140</f>
        <v>0</v>
      </c>
      <c r="AZ140" s="48" t="n">
        <f aca="false">AC140*$X140</f>
        <v>0</v>
      </c>
      <c r="BA140" s="1"/>
      <c r="BB140" s="1"/>
      <c r="BC140" s="1"/>
      <c r="BD140" s="1"/>
      <c r="BE140" s="1"/>
      <c r="BF140" s="1"/>
    </row>
    <row r="141" s="48" customFormat="true" ht="15" hidden="false" customHeight="true" outlineLevel="0" collapsed="false">
      <c r="A141" s="42" t="s">
        <v>210</v>
      </c>
      <c r="B141" s="42" t="n">
        <v>0</v>
      </c>
      <c r="C141" s="43" t="n">
        <v>6</v>
      </c>
      <c r="D141" s="44" t="n">
        <v>38</v>
      </c>
      <c r="E141" s="44" t="n">
        <v>14</v>
      </c>
      <c r="F141" s="44"/>
      <c r="G141" s="44"/>
      <c r="H141" s="44" t="n">
        <f aca="false">B141+D141+E141+F141+G141+C141</f>
        <v>58</v>
      </c>
      <c r="I141" s="45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7" t="n">
        <f aca="false">J141+K141+L141+M141+N141+O141+P141+Q141+R141+S141+T141+U141</f>
        <v>0</v>
      </c>
      <c r="W141" s="47" t="n">
        <f aca="false">H141-V141</f>
        <v>58</v>
      </c>
      <c r="X141" s="48" t="n">
        <v>0.22</v>
      </c>
      <c r="Y141" s="48" t="n">
        <f aca="false">B141*$X141</f>
        <v>0</v>
      </c>
      <c r="Z141" s="48" t="n">
        <f aca="false">C141*$X141</f>
        <v>1.32</v>
      </c>
      <c r="AA141" s="48" t="n">
        <f aca="false">D141*$X141</f>
        <v>8.36</v>
      </c>
      <c r="AB141" s="48" t="n">
        <f aca="false">E141*$X141</f>
        <v>3.08</v>
      </c>
      <c r="AC141" s="48" t="n">
        <f aca="false">F141*$X141</f>
        <v>0</v>
      </c>
      <c r="AD141" s="48" t="n">
        <f aca="false">G141*$X141</f>
        <v>0</v>
      </c>
      <c r="AE141" s="48" t="n">
        <f aca="false">H141*$X141</f>
        <v>12.76</v>
      </c>
      <c r="AF141" s="48" t="n">
        <f aca="false">I141*$X141</f>
        <v>0</v>
      </c>
      <c r="AG141" s="48" t="n">
        <f aca="false">J141*$X141</f>
        <v>0</v>
      </c>
      <c r="AH141" s="48" t="n">
        <f aca="false">K141*$X141</f>
        <v>0</v>
      </c>
      <c r="AI141" s="48" t="n">
        <f aca="false">L141*$X141</f>
        <v>0</v>
      </c>
      <c r="AJ141" s="48" t="n">
        <f aca="false">M141*$X141</f>
        <v>0</v>
      </c>
      <c r="AK141" s="48" t="n">
        <f aca="false">N141*$X141</f>
        <v>0</v>
      </c>
      <c r="AL141" s="48" t="n">
        <f aca="false">O141*$X141</f>
        <v>0</v>
      </c>
      <c r="AM141" s="48" t="n">
        <f aca="false">P141*$X141</f>
        <v>0</v>
      </c>
      <c r="AN141" s="48" t="n">
        <f aca="false">Q141*$X141</f>
        <v>0</v>
      </c>
      <c r="AO141" s="48" t="n">
        <f aca="false">R141*$X141</f>
        <v>0</v>
      </c>
      <c r="AP141" s="48" t="n">
        <f aca="false">S141*$X141</f>
        <v>0</v>
      </c>
      <c r="AQ141" s="48" t="n">
        <f aca="false">T141*$X141</f>
        <v>0</v>
      </c>
      <c r="AR141" s="48" t="n">
        <f aca="false">U141*$X141</f>
        <v>0</v>
      </c>
      <c r="AS141" s="48" t="n">
        <f aca="false">V141*$X141</f>
        <v>0</v>
      </c>
      <c r="AT141" s="48" t="n">
        <f aca="false">W141*$X141</f>
        <v>12.76</v>
      </c>
      <c r="AU141" s="48" t="n">
        <f aca="false">X141*$X141</f>
        <v>0.0484</v>
      </c>
      <c r="AV141" s="48" t="n">
        <f aca="false">Y141*$X141</f>
        <v>0</v>
      </c>
      <c r="AW141" s="48" t="n">
        <f aca="false">Z141*$X141</f>
        <v>0.2904</v>
      </c>
      <c r="AX141" s="48" t="n">
        <f aca="false">AA141*$X141</f>
        <v>1.8392</v>
      </c>
      <c r="AY141" s="48" t="n">
        <f aca="false">AB141*$X141</f>
        <v>0.6776</v>
      </c>
      <c r="AZ141" s="48" t="n">
        <f aca="false">AC141*$X141</f>
        <v>0</v>
      </c>
      <c r="BA141" s="1"/>
      <c r="BB141" s="1"/>
      <c r="BC141" s="1"/>
      <c r="BD141" s="1"/>
      <c r="BE141" s="1"/>
      <c r="BF141" s="1"/>
    </row>
    <row r="142" s="48" customFormat="true" ht="15" hidden="false" customHeight="true" outlineLevel="0" collapsed="false">
      <c r="A142" s="42" t="s">
        <v>211</v>
      </c>
      <c r="B142" s="42" t="n">
        <v>0</v>
      </c>
      <c r="C142" s="43"/>
      <c r="D142" s="44"/>
      <c r="E142" s="44"/>
      <c r="F142" s="44"/>
      <c r="G142" s="44"/>
      <c r="H142" s="44" t="n">
        <f aca="false">B142+D142+E142+F142+G142+C142</f>
        <v>0</v>
      </c>
      <c r="I142" s="45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7" t="n">
        <f aca="false">J142+K142+L142+M142+N142+O142+P142+Q142+R142+S142+T142+U142</f>
        <v>0</v>
      </c>
      <c r="W142" s="47" t="n">
        <f aca="false">H142-V142</f>
        <v>0</v>
      </c>
      <c r="X142" s="48" t="n">
        <v>0.22</v>
      </c>
      <c r="Y142" s="48" t="n">
        <f aca="false">B142*$X142</f>
        <v>0</v>
      </c>
      <c r="Z142" s="48" t="n">
        <f aca="false">C142*$X142</f>
        <v>0</v>
      </c>
      <c r="AA142" s="48" t="n">
        <f aca="false">D142*$X142</f>
        <v>0</v>
      </c>
      <c r="AB142" s="48" t="n">
        <f aca="false">E142*$X142</f>
        <v>0</v>
      </c>
      <c r="AC142" s="48" t="n">
        <f aca="false">F142*$X142</f>
        <v>0</v>
      </c>
      <c r="AD142" s="48" t="n">
        <f aca="false">G142*$X142</f>
        <v>0</v>
      </c>
      <c r="AE142" s="48" t="n">
        <f aca="false">H142*$X142</f>
        <v>0</v>
      </c>
      <c r="AF142" s="48" t="n">
        <f aca="false">I142*$X142</f>
        <v>0</v>
      </c>
      <c r="AG142" s="48" t="n">
        <f aca="false">J142*$X142</f>
        <v>0</v>
      </c>
      <c r="AH142" s="48" t="n">
        <f aca="false">K142*$X142</f>
        <v>0</v>
      </c>
      <c r="AI142" s="48" t="n">
        <f aca="false">L142*$X142</f>
        <v>0</v>
      </c>
      <c r="AJ142" s="48" t="n">
        <f aca="false">M142*$X142</f>
        <v>0</v>
      </c>
      <c r="AK142" s="48" t="n">
        <f aca="false">N142*$X142</f>
        <v>0</v>
      </c>
      <c r="AL142" s="48" t="n">
        <f aca="false">O142*$X142</f>
        <v>0</v>
      </c>
      <c r="AM142" s="48" t="n">
        <f aca="false">P142*$X142</f>
        <v>0</v>
      </c>
      <c r="AN142" s="48" t="n">
        <f aca="false">Q142*$X142</f>
        <v>0</v>
      </c>
      <c r="AO142" s="48" t="n">
        <f aca="false">R142*$X142</f>
        <v>0</v>
      </c>
      <c r="AP142" s="48" t="n">
        <f aca="false">S142*$X142</f>
        <v>0</v>
      </c>
      <c r="AQ142" s="48" t="n">
        <f aca="false">T142*$X142</f>
        <v>0</v>
      </c>
      <c r="AR142" s="48" t="n">
        <f aca="false">U142*$X142</f>
        <v>0</v>
      </c>
      <c r="AS142" s="48" t="n">
        <f aca="false">V142*$X142</f>
        <v>0</v>
      </c>
      <c r="AT142" s="48" t="n">
        <f aca="false">W142*$X142</f>
        <v>0</v>
      </c>
      <c r="AU142" s="48" t="n">
        <f aca="false">X142*$X142</f>
        <v>0.0484</v>
      </c>
      <c r="AV142" s="48" t="n">
        <f aca="false">Y142*$X142</f>
        <v>0</v>
      </c>
      <c r="AW142" s="48" t="n">
        <f aca="false">Z142*$X142</f>
        <v>0</v>
      </c>
      <c r="AX142" s="48" t="n">
        <f aca="false">AA142*$X142</f>
        <v>0</v>
      </c>
      <c r="AY142" s="48" t="n">
        <f aca="false">AB142*$X142</f>
        <v>0</v>
      </c>
      <c r="AZ142" s="48" t="n">
        <f aca="false">AC142*$X142</f>
        <v>0</v>
      </c>
      <c r="BA142" s="1"/>
      <c r="BB142" s="1"/>
      <c r="BC142" s="1"/>
      <c r="BD142" s="1"/>
      <c r="BE142" s="1"/>
      <c r="BF142" s="1"/>
    </row>
    <row r="143" s="48" customFormat="true" ht="15" hidden="false" customHeight="true" outlineLevel="0" collapsed="false">
      <c r="A143" s="42" t="s">
        <v>212</v>
      </c>
      <c r="B143" s="42" t="n">
        <v>0</v>
      </c>
      <c r="C143" s="43"/>
      <c r="D143" s="44"/>
      <c r="E143" s="44"/>
      <c r="F143" s="44"/>
      <c r="G143" s="44"/>
      <c r="H143" s="44" t="n">
        <f aca="false">B143+D143+E143+F143+G143+C143</f>
        <v>0</v>
      </c>
      <c r="I143" s="45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7" t="n">
        <f aca="false">J143+K143+L143+M143+N143+O143+P143+Q143+R143+S143+T143+U143</f>
        <v>0</v>
      </c>
      <c r="W143" s="47" t="n">
        <f aca="false">H143-V143</f>
        <v>0</v>
      </c>
      <c r="X143" s="48" t="n">
        <v>0.22</v>
      </c>
      <c r="Y143" s="48" t="n">
        <f aca="false">B143*$X143</f>
        <v>0</v>
      </c>
      <c r="Z143" s="48" t="n">
        <f aca="false">C143*$X143</f>
        <v>0</v>
      </c>
      <c r="AA143" s="48" t="n">
        <f aca="false">D143*$X143</f>
        <v>0</v>
      </c>
      <c r="AB143" s="48" t="n">
        <f aca="false">E143*$X143</f>
        <v>0</v>
      </c>
      <c r="AC143" s="48" t="n">
        <f aca="false">F143*$X143</f>
        <v>0</v>
      </c>
      <c r="AD143" s="48" t="n">
        <f aca="false">G143*$X143</f>
        <v>0</v>
      </c>
      <c r="AE143" s="48" t="n">
        <f aca="false">H143*$X143</f>
        <v>0</v>
      </c>
      <c r="AF143" s="48" t="n">
        <f aca="false">I143*$X143</f>
        <v>0</v>
      </c>
      <c r="AG143" s="48" t="n">
        <f aca="false">J143*$X143</f>
        <v>0</v>
      </c>
      <c r="AH143" s="48" t="n">
        <f aca="false">K143*$X143</f>
        <v>0</v>
      </c>
      <c r="AI143" s="48" t="n">
        <f aca="false">L143*$X143</f>
        <v>0</v>
      </c>
      <c r="AJ143" s="48" t="n">
        <f aca="false">M143*$X143</f>
        <v>0</v>
      </c>
      <c r="AK143" s="48" t="n">
        <f aca="false">N143*$X143</f>
        <v>0</v>
      </c>
      <c r="AL143" s="48" t="n">
        <f aca="false">O143*$X143</f>
        <v>0</v>
      </c>
      <c r="AM143" s="48" t="n">
        <f aca="false">P143*$X143</f>
        <v>0</v>
      </c>
      <c r="AN143" s="48" t="n">
        <f aca="false">Q143*$X143</f>
        <v>0</v>
      </c>
      <c r="AO143" s="48" t="n">
        <f aca="false">R143*$X143</f>
        <v>0</v>
      </c>
      <c r="AP143" s="48" t="n">
        <f aca="false">S143*$X143</f>
        <v>0</v>
      </c>
      <c r="AQ143" s="48" t="n">
        <f aca="false">T143*$X143</f>
        <v>0</v>
      </c>
      <c r="AR143" s="48" t="n">
        <f aca="false">U143*$X143</f>
        <v>0</v>
      </c>
      <c r="AS143" s="48" t="n">
        <f aca="false">V143*$X143</f>
        <v>0</v>
      </c>
      <c r="AT143" s="48" t="n">
        <f aca="false">W143*$X143</f>
        <v>0</v>
      </c>
      <c r="AU143" s="48" t="n">
        <f aca="false">X143*$X143</f>
        <v>0.0484</v>
      </c>
      <c r="AV143" s="48" t="n">
        <f aca="false">Y143*$X143</f>
        <v>0</v>
      </c>
      <c r="AW143" s="48" t="n">
        <f aca="false">Z143*$X143</f>
        <v>0</v>
      </c>
      <c r="AX143" s="48" t="n">
        <f aca="false">AA143*$X143</f>
        <v>0</v>
      </c>
      <c r="AY143" s="48" t="n">
        <f aca="false">AB143*$X143</f>
        <v>0</v>
      </c>
      <c r="AZ143" s="48" t="n">
        <f aca="false">AC143*$X143</f>
        <v>0</v>
      </c>
      <c r="BA143" s="1"/>
      <c r="BB143" s="1"/>
      <c r="BC143" s="1"/>
      <c r="BD143" s="1"/>
      <c r="BE143" s="1"/>
      <c r="BF143" s="1"/>
    </row>
    <row r="144" s="48" customFormat="true" ht="15" hidden="false" customHeight="true" outlineLevel="0" collapsed="false">
      <c r="A144" s="42" t="s">
        <v>213</v>
      </c>
      <c r="B144" s="42" t="n">
        <v>314</v>
      </c>
      <c r="C144" s="43" t="n">
        <v>24</v>
      </c>
      <c r="D144" s="44"/>
      <c r="E144" s="44" t="n">
        <v>133</v>
      </c>
      <c r="F144" s="44"/>
      <c r="G144" s="44" t="n">
        <v>103</v>
      </c>
      <c r="H144" s="44" t="n">
        <f aca="false">B144+D144+E144+F144+G144+C144</f>
        <v>574</v>
      </c>
      <c r="I144" s="45"/>
      <c r="J144" s="49"/>
      <c r="K144" s="49"/>
      <c r="L144" s="49"/>
      <c r="M144" s="49"/>
      <c r="N144" s="49"/>
      <c r="O144" s="49"/>
      <c r="P144" s="49"/>
      <c r="Q144" s="49"/>
      <c r="R144" s="49" t="n">
        <v>33</v>
      </c>
      <c r="S144" s="49" t="n">
        <v>197</v>
      </c>
      <c r="T144" s="49"/>
      <c r="U144" s="49"/>
      <c r="V144" s="47" t="n">
        <f aca="false">J144+K144+L144+M144+N144+O144+P144+Q144+R144+S144+T144+U144</f>
        <v>230</v>
      </c>
      <c r="W144" s="47" t="n">
        <f aca="false">H144-V144</f>
        <v>344</v>
      </c>
      <c r="X144" s="48" t="n">
        <v>0.22</v>
      </c>
      <c r="Y144" s="48" t="n">
        <f aca="false">B144*$X144</f>
        <v>69.08</v>
      </c>
      <c r="Z144" s="48" t="n">
        <f aca="false">C144*$X144</f>
        <v>5.28</v>
      </c>
      <c r="AA144" s="48" t="n">
        <f aca="false">D144*$X144</f>
        <v>0</v>
      </c>
      <c r="AB144" s="48" t="n">
        <f aca="false">E144*$X144</f>
        <v>29.26</v>
      </c>
      <c r="AC144" s="48" t="n">
        <f aca="false">F144*$X144</f>
        <v>0</v>
      </c>
      <c r="AD144" s="48" t="n">
        <f aca="false">G144*$X144</f>
        <v>22.66</v>
      </c>
      <c r="AE144" s="48" t="n">
        <f aca="false">H144*$X144</f>
        <v>126.28</v>
      </c>
      <c r="AF144" s="48" t="n">
        <f aca="false">I144*$X144</f>
        <v>0</v>
      </c>
      <c r="AG144" s="48" t="n">
        <f aca="false">J144*$X144</f>
        <v>0</v>
      </c>
      <c r="AH144" s="48" t="n">
        <f aca="false">K144*$X144</f>
        <v>0</v>
      </c>
      <c r="AI144" s="48" t="n">
        <f aca="false">L144*$X144</f>
        <v>0</v>
      </c>
      <c r="AJ144" s="48" t="n">
        <f aca="false">M144*$X144</f>
        <v>0</v>
      </c>
      <c r="AK144" s="48" t="n">
        <f aca="false">N144*$X144</f>
        <v>0</v>
      </c>
      <c r="AL144" s="48" t="n">
        <f aca="false">O144*$X144</f>
        <v>0</v>
      </c>
      <c r="AM144" s="48" t="n">
        <f aca="false">P144*$X144</f>
        <v>0</v>
      </c>
      <c r="AN144" s="48" t="n">
        <f aca="false">Q144*$X144</f>
        <v>0</v>
      </c>
      <c r="AO144" s="48" t="n">
        <f aca="false">R144*$X144</f>
        <v>7.26</v>
      </c>
      <c r="AP144" s="48" t="n">
        <f aca="false">S144*$X144</f>
        <v>43.34</v>
      </c>
      <c r="AQ144" s="48" t="n">
        <f aca="false">T144*$X144</f>
        <v>0</v>
      </c>
      <c r="AR144" s="48" t="n">
        <f aca="false">U144*$X144</f>
        <v>0</v>
      </c>
      <c r="AS144" s="48" t="n">
        <f aca="false">V144*$X144</f>
        <v>50.6</v>
      </c>
      <c r="AT144" s="48" t="n">
        <f aca="false">W144*$X144</f>
        <v>75.68</v>
      </c>
      <c r="AU144" s="48" t="n">
        <f aca="false">X144*$X144</f>
        <v>0.0484</v>
      </c>
      <c r="AV144" s="48" t="n">
        <f aca="false">Y144*$X144</f>
        <v>15.1976</v>
      </c>
      <c r="AW144" s="48" t="n">
        <f aca="false">Z144*$X144</f>
        <v>1.1616</v>
      </c>
      <c r="AX144" s="48" t="n">
        <f aca="false">AA144*$X144</f>
        <v>0</v>
      </c>
      <c r="AY144" s="48" t="n">
        <f aca="false">AB144*$X144</f>
        <v>6.4372</v>
      </c>
      <c r="AZ144" s="48" t="n">
        <f aca="false">AC144*$X144</f>
        <v>0</v>
      </c>
      <c r="BA144" s="1"/>
      <c r="BB144" s="1"/>
      <c r="BC144" s="1"/>
      <c r="BD144" s="1"/>
      <c r="BE144" s="1"/>
      <c r="BF144" s="1"/>
    </row>
    <row r="145" s="48" customFormat="true" ht="15" hidden="false" customHeight="true" outlineLevel="0" collapsed="false">
      <c r="A145" s="42" t="s">
        <v>214</v>
      </c>
      <c r="B145" s="42" t="n">
        <v>4</v>
      </c>
      <c r="C145" s="43"/>
      <c r="D145" s="44"/>
      <c r="E145" s="44"/>
      <c r="F145" s="44"/>
      <c r="G145" s="44"/>
      <c r="H145" s="44" t="n">
        <f aca="false">B145+D145+E145+F145+G145+C145</f>
        <v>4</v>
      </c>
      <c r="I145" s="45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7" t="n">
        <f aca="false">J145+K145+L145+M145+N145+O145+P145+Q145+R145+S145+T145+U145</f>
        <v>0</v>
      </c>
      <c r="W145" s="47" t="n">
        <f aca="false">H145-V145</f>
        <v>4</v>
      </c>
      <c r="X145" s="48" t="n">
        <v>39</v>
      </c>
      <c r="Y145" s="48" t="n">
        <f aca="false">B145*$X145</f>
        <v>156</v>
      </c>
      <c r="Z145" s="48" t="n">
        <f aca="false">C145*$X145</f>
        <v>0</v>
      </c>
      <c r="AA145" s="48" t="n">
        <f aca="false">D145*$X145</f>
        <v>0</v>
      </c>
      <c r="AB145" s="48" t="n">
        <f aca="false">E145*$X145</f>
        <v>0</v>
      </c>
      <c r="AC145" s="48" t="n">
        <f aca="false">F145*$X145</f>
        <v>0</v>
      </c>
      <c r="AD145" s="48" t="n">
        <f aca="false">G145*$X145</f>
        <v>0</v>
      </c>
      <c r="AE145" s="48" t="n">
        <f aca="false">H145*$X145</f>
        <v>156</v>
      </c>
      <c r="AF145" s="48" t="n">
        <f aca="false">I145*$X145</f>
        <v>0</v>
      </c>
      <c r="AG145" s="48" t="n">
        <f aca="false">J145*$X145</f>
        <v>0</v>
      </c>
      <c r="AH145" s="48" t="n">
        <f aca="false">K145*$X145</f>
        <v>0</v>
      </c>
      <c r="AI145" s="48" t="n">
        <f aca="false">L145*$X145</f>
        <v>0</v>
      </c>
      <c r="AJ145" s="48" t="n">
        <f aca="false">M145*$X145</f>
        <v>0</v>
      </c>
      <c r="AK145" s="48" t="n">
        <f aca="false">N145*$X145</f>
        <v>0</v>
      </c>
      <c r="AL145" s="48" t="n">
        <f aca="false">O145*$X145</f>
        <v>0</v>
      </c>
      <c r="AM145" s="48" t="n">
        <f aca="false">P145*$X145</f>
        <v>0</v>
      </c>
      <c r="AN145" s="48" t="n">
        <f aca="false">Q145*$X145</f>
        <v>0</v>
      </c>
      <c r="AO145" s="48" t="n">
        <f aca="false">R145*$X145</f>
        <v>0</v>
      </c>
      <c r="AP145" s="48" t="n">
        <f aca="false">S145*$X145</f>
        <v>0</v>
      </c>
      <c r="AQ145" s="48" t="n">
        <f aca="false">T145*$X145</f>
        <v>0</v>
      </c>
      <c r="AR145" s="48" t="n">
        <f aca="false">U145*$X145</f>
        <v>0</v>
      </c>
      <c r="AS145" s="48" t="n">
        <f aca="false">V145*$X145</f>
        <v>0</v>
      </c>
      <c r="AT145" s="48" t="n">
        <f aca="false">W145*$X145</f>
        <v>156</v>
      </c>
      <c r="AU145" s="48" t="n">
        <f aca="false">X145*$X145</f>
        <v>1521</v>
      </c>
      <c r="AV145" s="48" t="n">
        <f aca="false">Y145*$X145</f>
        <v>6084</v>
      </c>
      <c r="AW145" s="48" t="n">
        <f aca="false">Z145*$X145</f>
        <v>0</v>
      </c>
      <c r="AX145" s="48" t="n">
        <f aca="false">AA145*$X145</f>
        <v>0</v>
      </c>
      <c r="AY145" s="48" t="n">
        <f aca="false">AB145*$X145</f>
        <v>0</v>
      </c>
      <c r="AZ145" s="48" t="n">
        <f aca="false">AC145*$X145</f>
        <v>0</v>
      </c>
      <c r="BA145" s="1"/>
      <c r="BB145" s="1"/>
      <c r="BC145" s="1"/>
      <c r="BD145" s="1"/>
      <c r="BE145" s="1"/>
      <c r="BF145" s="1"/>
    </row>
    <row r="146" s="48" customFormat="true" ht="15" hidden="false" customHeight="true" outlineLevel="0" collapsed="false">
      <c r="A146" s="42" t="s">
        <v>215</v>
      </c>
      <c r="B146" s="42" t="n">
        <v>0</v>
      </c>
      <c r="C146" s="43"/>
      <c r="D146" s="44"/>
      <c r="E146" s="44"/>
      <c r="F146" s="44" t="n">
        <v>68</v>
      </c>
      <c r="G146" s="44"/>
      <c r="H146" s="44" t="n">
        <f aca="false">B146+D146+E146+F146+G146+C146</f>
        <v>68</v>
      </c>
      <c r="I146" s="45"/>
      <c r="J146" s="49"/>
      <c r="K146" s="49"/>
      <c r="L146" s="49"/>
      <c r="M146" s="49"/>
      <c r="N146" s="49"/>
      <c r="O146" s="49" t="n">
        <v>50</v>
      </c>
      <c r="P146" s="49"/>
      <c r="Q146" s="49"/>
      <c r="R146" s="49"/>
      <c r="S146" s="49"/>
      <c r="T146" s="49"/>
      <c r="U146" s="49"/>
      <c r="V146" s="47" t="n">
        <f aca="false">J146+K146+L146+M146+N146+O146+P146+Q146+R146+S146+T146+U146</f>
        <v>50</v>
      </c>
      <c r="W146" s="47" t="n">
        <f aca="false">H146-V146</f>
        <v>18</v>
      </c>
      <c r="X146" s="48" t="n">
        <v>18</v>
      </c>
      <c r="Y146" s="48" t="n">
        <f aca="false">B146*$X146</f>
        <v>0</v>
      </c>
      <c r="Z146" s="48" t="n">
        <f aca="false">C146*$X146</f>
        <v>0</v>
      </c>
      <c r="AA146" s="48" t="n">
        <f aca="false">D146*$X146</f>
        <v>0</v>
      </c>
      <c r="AB146" s="48" t="n">
        <f aca="false">E146*$X146</f>
        <v>0</v>
      </c>
      <c r="AC146" s="48" t="n">
        <f aca="false">F146*$X146</f>
        <v>1224</v>
      </c>
      <c r="AD146" s="48" t="n">
        <f aca="false">G146*$X146</f>
        <v>0</v>
      </c>
      <c r="AE146" s="48" t="n">
        <f aca="false">H146*$X146</f>
        <v>1224</v>
      </c>
      <c r="AF146" s="48" t="n">
        <f aca="false">I146*$X146</f>
        <v>0</v>
      </c>
      <c r="AG146" s="48" t="n">
        <f aca="false">J146*$X146</f>
        <v>0</v>
      </c>
      <c r="AH146" s="48" t="n">
        <f aca="false">K146*$X146</f>
        <v>0</v>
      </c>
      <c r="AI146" s="48" t="n">
        <f aca="false">L146*$X146</f>
        <v>0</v>
      </c>
      <c r="AJ146" s="48" t="n">
        <f aca="false">M146*$X146</f>
        <v>0</v>
      </c>
      <c r="AK146" s="48" t="n">
        <f aca="false">N146*$X146</f>
        <v>0</v>
      </c>
      <c r="AL146" s="48" t="n">
        <f aca="false">O146*$X146</f>
        <v>900</v>
      </c>
      <c r="AM146" s="48" t="n">
        <f aca="false">P146*$X146</f>
        <v>0</v>
      </c>
      <c r="AN146" s="48" t="n">
        <f aca="false">Q146*$X146</f>
        <v>0</v>
      </c>
      <c r="AO146" s="48" t="n">
        <f aca="false">R146*$X146</f>
        <v>0</v>
      </c>
      <c r="AP146" s="48" t="n">
        <f aca="false">S146*$X146</f>
        <v>0</v>
      </c>
      <c r="AQ146" s="48" t="n">
        <f aca="false">T146*$X146</f>
        <v>0</v>
      </c>
      <c r="AR146" s="48" t="n">
        <f aca="false">U146*$X146</f>
        <v>0</v>
      </c>
      <c r="AS146" s="48" t="n">
        <f aca="false">V146*$X146</f>
        <v>900</v>
      </c>
      <c r="AT146" s="48" t="n">
        <f aca="false">W146*$X146</f>
        <v>324</v>
      </c>
      <c r="AU146" s="48" t="n">
        <f aca="false">X146*$X146</f>
        <v>324</v>
      </c>
      <c r="AV146" s="48" t="n">
        <f aca="false">Y146*$X146</f>
        <v>0</v>
      </c>
      <c r="AW146" s="48" t="n">
        <f aca="false">Z146*$X146</f>
        <v>0</v>
      </c>
      <c r="AX146" s="48" t="n">
        <f aca="false">AA146*$X146</f>
        <v>0</v>
      </c>
      <c r="AY146" s="48" t="n">
        <f aca="false">AB146*$X146</f>
        <v>0</v>
      </c>
      <c r="AZ146" s="48" t="n">
        <f aca="false">AC146*$X146</f>
        <v>22032</v>
      </c>
      <c r="BA146" s="1"/>
      <c r="BB146" s="1"/>
      <c r="BC146" s="1"/>
      <c r="BD146" s="1"/>
      <c r="BE146" s="1"/>
      <c r="BF146" s="1"/>
    </row>
    <row r="147" s="48" customFormat="true" ht="15" hidden="false" customHeight="true" outlineLevel="0" collapsed="false">
      <c r="A147" s="42" t="s">
        <v>216</v>
      </c>
      <c r="B147" s="42" t="n">
        <v>0</v>
      </c>
      <c r="C147" s="43"/>
      <c r="D147" s="44"/>
      <c r="E147" s="44"/>
      <c r="F147" s="44"/>
      <c r="G147" s="44"/>
      <c r="H147" s="44" t="n">
        <f aca="false">B147+D147+E147+F147+G147+C147</f>
        <v>0</v>
      </c>
      <c r="I147" s="45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7" t="n">
        <f aca="false">J147+K147+L147+M147+N147+O147+P147+Q147+R147+S147+T147+U147</f>
        <v>0</v>
      </c>
      <c r="W147" s="47" t="n">
        <f aca="false">H147-V147</f>
        <v>0</v>
      </c>
      <c r="X147" s="48" t="n">
        <v>11</v>
      </c>
      <c r="Y147" s="48" t="n">
        <f aca="false">B147*$X147</f>
        <v>0</v>
      </c>
      <c r="Z147" s="48" t="n">
        <f aca="false">C147*$X147</f>
        <v>0</v>
      </c>
      <c r="AA147" s="48" t="n">
        <f aca="false">D147*$X147</f>
        <v>0</v>
      </c>
      <c r="AB147" s="48" t="n">
        <f aca="false">E147*$X147</f>
        <v>0</v>
      </c>
      <c r="AC147" s="48" t="n">
        <f aca="false">F147*$X147</f>
        <v>0</v>
      </c>
      <c r="AD147" s="48" t="n">
        <f aca="false">G147*$X147</f>
        <v>0</v>
      </c>
      <c r="AE147" s="48" t="n">
        <f aca="false">H147*$X147</f>
        <v>0</v>
      </c>
      <c r="AF147" s="48" t="n">
        <f aca="false">I147*$X147</f>
        <v>0</v>
      </c>
      <c r="AG147" s="48" t="n">
        <f aca="false">J147*$X147</f>
        <v>0</v>
      </c>
      <c r="AH147" s="48" t="n">
        <f aca="false">K147*$X147</f>
        <v>0</v>
      </c>
      <c r="AI147" s="48" t="n">
        <f aca="false">L147*$X147</f>
        <v>0</v>
      </c>
      <c r="AJ147" s="48" t="n">
        <f aca="false">M147*$X147</f>
        <v>0</v>
      </c>
      <c r="AK147" s="48" t="n">
        <f aca="false">N147*$X147</f>
        <v>0</v>
      </c>
      <c r="AL147" s="48" t="n">
        <f aca="false">O147*$X147</f>
        <v>0</v>
      </c>
      <c r="AM147" s="48" t="n">
        <f aca="false">P147*$X147</f>
        <v>0</v>
      </c>
      <c r="AN147" s="48" t="n">
        <f aca="false">Q147*$X147</f>
        <v>0</v>
      </c>
      <c r="AO147" s="48" t="n">
        <f aca="false">R147*$X147</f>
        <v>0</v>
      </c>
      <c r="AP147" s="48" t="n">
        <f aca="false">S147*$X147</f>
        <v>0</v>
      </c>
      <c r="AQ147" s="48" t="n">
        <f aca="false">T147*$X147</f>
        <v>0</v>
      </c>
      <c r="AR147" s="48" t="n">
        <f aca="false">U147*$X147</f>
        <v>0</v>
      </c>
      <c r="AS147" s="48" t="n">
        <f aca="false">V147*$X147</f>
        <v>0</v>
      </c>
      <c r="AT147" s="48" t="n">
        <f aca="false">W147*$X147</f>
        <v>0</v>
      </c>
      <c r="AU147" s="48" t="n">
        <f aca="false">X147*$X147</f>
        <v>121</v>
      </c>
      <c r="AV147" s="48" t="n">
        <f aca="false">Y147*$X147</f>
        <v>0</v>
      </c>
      <c r="AW147" s="48" t="n">
        <f aca="false">Z147*$X147</f>
        <v>0</v>
      </c>
      <c r="AX147" s="48" t="n">
        <f aca="false">AA147*$X147</f>
        <v>0</v>
      </c>
      <c r="AY147" s="48" t="n">
        <f aca="false">AB147*$X147</f>
        <v>0</v>
      </c>
      <c r="AZ147" s="48" t="n">
        <f aca="false">AC147*$X147</f>
        <v>0</v>
      </c>
      <c r="BA147" s="1"/>
      <c r="BB147" s="1"/>
      <c r="BC147" s="1"/>
      <c r="BD147" s="1"/>
      <c r="BE147" s="1"/>
      <c r="BF147" s="1"/>
    </row>
    <row r="148" s="48" customFormat="true" ht="15" hidden="false" customHeight="true" outlineLevel="0" collapsed="false">
      <c r="A148" s="42" t="s">
        <v>217</v>
      </c>
      <c r="B148" s="42" t="n">
        <v>0</v>
      </c>
      <c r="C148" s="43"/>
      <c r="D148" s="44"/>
      <c r="E148" s="44"/>
      <c r="F148" s="44" t="n">
        <v>28</v>
      </c>
      <c r="G148" s="44"/>
      <c r="H148" s="44" t="n">
        <f aca="false">B148+D148+E148+F148+G148+C148</f>
        <v>28</v>
      </c>
      <c r="I148" s="45"/>
      <c r="J148" s="49"/>
      <c r="K148" s="49"/>
      <c r="L148" s="49"/>
      <c r="M148" s="49"/>
      <c r="N148" s="49"/>
      <c r="O148" s="49" t="n">
        <v>15</v>
      </c>
      <c r="P148" s="49"/>
      <c r="Q148" s="49"/>
      <c r="R148" s="49"/>
      <c r="S148" s="49"/>
      <c r="T148" s="49"/>
      <c r="U148" s="49"/>
      <c r="V148" s="47" t="n">
        <f aca="false">J148+K148+L148+M148+N148+O148+P148+Q148+R148+S148+T148+U148</f>
        <v>15</v>
      </c>
      <c r="W148" s="47" t="n">
        <f aca="false">H148-V148</f>
        <v>13</v>
      </c>
      <c r="X148" s="48" t="n">
        <v>8</v>
      </c>
      <c r="Y148" s="48" t="n">
        <f aca="false">B148*$X148</f>
        <v>0</v>
      </c>
      <c r="Z148" s="48" t="n">
        <f aca="false">C148*$X148</f>
        <v>0</v>
      </c>
      <c r="AA148" s="48" t="n">
        <f aca="false">D148*$X148</f>
        <v>0</v>
      </c>
      <c r="AB148" s="48" t="n">
        <f aca="false">E148*$X148</f>
        <v>0</v>
      </c>
      <c r="AC148" s="48" t="n">
        <f aca="false">F148*$X148</f>
        <v>224</v>
      </c>
      <c r="AD148" s="48" t="n">
        <f aca="false">G148*$X148</f>
        <v>0</v>
      </c>
      <c r="AE148" s="48" t="n">
        <f aca="false">H148*$X148</f>
        <v>224</v>
      </c>
      <c r="AF148" s="48" t="n">
        <f aca="false">I148*$X148</f>
        <v>0</v>
      </c>
      <c r="AG148" s="48" t="n">
        <f aca="false">J148*$X148</f>
        <v>0</v>
      </c>
      <c r="AH148" s="48" t="n">
        <f aca="false">K148*$X148</f>
        <v>0</v>
      </c>
      <c r="AI148" s="48" t="n">
        <f aca="false">L148*$X148</f>
        <v>0</v>
      </c>
      <c r="AJ148" s="48" t="n">
        <f aca="false">M148*$X148</f>
        <v>0</v>
      </c>
      <c r="AK148" s="48" t="n">
        <f aca="false">N148*$X148</f>
        <v>0</v>
      </c>
      <c r="AL148" s="48" t="n">
        <f aca="false">O148*$X148</f>
        <v>120</v>
      </c>
      <c r="AM148" s="48" t="n">
        <f aca="false">P148*$X148</f>
        <v>0</v>
      </c>
      <c r="AN148" s="48" t="n">
        <f aca="false">Q148*$X148</f>
        <v>0</v>
      </c>
      <c r="AO148" s="48" t="n">
        <f aca="false">R148*$X148</f>
        <v>0</v>
      </c>
      <c r="AP148" s="48" t="n">
        <f aca="false">S148*$X148</f>
        <v>0</v>
      </c>
      <c r="AQ148" s="48" t="n">
        <f aca="false">T148*$X148</f>
        <v>0</v>
      </c>
      <c r="AR148" s="48" t="n">
        <f aca="false">U148*$X148</f>
        <v>0</v>
      </c>
      <c r="AS148" s="48" t="n">
        <f aca="false">V148*$X148</f>
        <v>120</v>
      </c>
      <c r="AT148" s="48" t="n">
        <f aca="false">W148*$X148</f>
        <v>104</v>
      </c>
      <c r="AU148" s="48" t="n">
        <f aca="false">X148*$X148</f>
        <v>64</v>
      </c>
      <c r="AV148" s="48" t="n">
        <f aca="false">Y148*$X148</f>
        <v>0</v>
      </c>
      <c r="AW148" s="48" t="n">
        <f aca="false">Z148*$X148</f>
        <v>0</v>
      </c>
      <c r="AX148" s="48" t="n">
        <f aca="false">AA148*$X148</f>
        <v>0</v>
      </c>
      <c r="AY148" s="48" t="n">
        <f aca="false">AB148*$X148</f>
        <v>0</v>
      </c>
      <c r="AZ148" s="48" t="n">
        <f aca="false">AC148*$X148</f>
        <v>1792</v>
      </c>
      <c r="BA148" s="1"/>
      <c r="BB148" s="1"/>
      <c r="BC148" s="1"/>
      <c r="BD148" s="1"/>
      <c r="BE148" s="1"/>
      <c r="BF148" s="1"/>
    </row>
    <row r="149" s="48" customFormat="true" ht="15" hidden="false" customHeight="true" outlineLevel="0" collapsed="false">
      <c r="A149" s="42" t="s">
        <v>218</v>
      </c>
      <c r="B149" s="42" t="n">
        <v>0</v>
      </c>
      <c r="C149" s="43"/>
      <c r="D149" s="44"/>
      <c r="E149" s="44"/>
      <c r="F149" s="44"/>
      <c r="G149" s="44"/>
      <c r="H149" s="44" t="n">
        <f aca="false">B149+D149+E149+F149+G149+C149</f>
        <v>0</v>
      </c>
      <c r="I149" s="45"/>
      <c r="J149" s="49"/>
      <c r="K149" s="49"/>
      <c r="L149" s="49"/>
      <c r="M149" s="49"/>
      <c r="N149" s="49"/>
      <c r="O149" s="49" t="n">
        <v>12</v>
      </c>
      <c r="P149" s="49"/>
      <c r="Q149" s="49"/>
      <c r="R149" s="49"/>
      <c r="S149" s="49"/>
      <c r="T149" s="49"/>
      <c r="U149" s="49"/>
      <c r="V149" s="47" t="n">
        <f aca="false">J149+K149+L149+M149+N149+O149+P149+Q149+R149+S149+T149+U149</f>
        <v>12</v>
      </c>
      <c r="W149" s="47" t="n">
        <f aca="false">H149-V149</f>
        <v>-12</v>
      </c>
      <c r="X149" s="48" t="n">
        <v>12</v>
      </c>
      <c r="Y149" s="48" t="n">
        <f aca="false">B149*$X149</f>
        <v>0</v>
      </c>
      <c r="Z149" s="48" t="n">
        <f aca="false">C149*$X149</f>
        <v>0</v>
      </c>
      <c r="AA149" s="48" t="n">
        <f aca="false">D149*$X149</f>
        <v>0</v>
      </c>
      <c r="AB149" s="48" t="n">
        <f aca="false">E149*$X149</f>
        <v>0</v>
      </c>
      <c r="AC149" s="48" t="n">
        <f aca="false">F149*$X149</f>
        <v>0</v>
      </c>
      <c r="AD149" s="48" t="n">
        <f aca="false">G149*$X149</f>
        <v>0</v>
      </c>
      <c r="AE149" s="48" t="n">
        <f aca="false">H149*$X149</f>
        <v>0</v>
      </c>
      <c r="AF149" s="48" t="n">
        <f aca="false">I149*$X149</f>
        <v>0</v>
      </c>
      <c r="AG149" s="48" t="n">
        <f aca="false">J149*$X149</f>
        <v>0</v>
      </c>
      <c r="AH149" s="48" t="n">
        <f aca="false">K149*$X149</f>
        <v>0</v>
      </c>
      <c r="AI149" s="48" t="n">
        <f aca="false">L149*$X149</f>
        <v>0</v>
      </c>
      <c r="AJ149" s="48" t="n">
        <f aca="false">M149*$X149</f>
        <v>0</v>
      </c>
      <c r="AK149" s="48" t="n">
        <f aca="false">N149*$X149</f>
        <v>0</v>
      </c>
      <c r="AL149" s="48" t="n">
        <f aca="false">O149*$X149</f>
        <v>144</v>
      </c>
      <c r="AM149" s="48" t="n">
        <f aca="false">P149*$X149</f>
        <v>0</v>
      </c>
      <c r="AN149" s="48" t="n">
        <f aca="false">Q149*$X149</f>
        <v>0</v>
      </c>
      <c r="AO149" s="48" t="n">
        <f aca="false">R149*$X149</f>
        <v>0</v>
      </c>
      <c r="AP149" s="48" t="n">
        <f aca="false">S149*$X149</f>
        <v>0</v>
      </c>
      <c r="AQ149" s="48" t="n">
        <f aca="false">T149*$X149</f>
        <v>0</v>
      </c>
      <c r="AR149" s="48" t="n">
        <f aca="false">U149*$X149</f>
        <v>0</v>
      </c>
      <c r="AS149" s="48" t="n">
        <f aca="false">V149*$X149</f>
        <v>144</v>
      </c>
      <c r="AT149" s="48" t="n">
        <f aca="false">W149*$X149</f>
        <v>-144</v>
      </c>
      <c r="AU149" s="48" t="n">
        <f aca="false">X149*$X149</f>
        <v>144</v>
      </c>
      <c r="AV149" s="48" t="n">
        <f aca="false">Y149*$X149</f>
        <v>0</v>
      </c>
      <c r="AW149" s="48" t="n">
        <f aca="false">Z149*$X149</f>
        <v>0</v>
      </c>
      <c r="AX149" s="48" t="n">
        <f aca="false">AA149*$X149</f>
        <v>0</v>
      </c>
      <c r="AY149" s="48" t="n">
        <f aca="false">AB149*$X149</f>
        <v>0</v>
      </c>
      <c r="AZ149" s="48" t="n">
        <f aca="false">AC149*$X149</f>
        <v>0</v>
      </c>
      <c r="BA149" s="1"/>
      <c r="BB149" s="1"/>
      <c r="BC149" s="1"/>
      <c r="BD149" s="1"/>
      <c r="BE149" s="1"/>
      <c r="BF149" s="1"/>
    </row>
    <row r="150" s="48" customFormat="true" ht="15" hidden="false" customHeight="true" outlineLevel="0" collapsed="false">
      <c r="A150" s="42" t="s">
        <v>219</v>
      </c>
      <c r="B150" s="42" t="n">
        <v>0</v>
      </c>
      <c r="C150" s="43"/>
      <c r="D150" s="44"/>
      <c r="E150" s="44"/>
      <c r="F150" s="44"/>
      <c r="G150" s="44"/>
      <c r="H150" s="44" t="n">
        <f aca="false">B150+D150+E150+F150+G150+C150</f>
        <v>0</v>
      </c>
      <c r="I150" s="45"/>
      <c r="J150" s="49" t="n">
        <v>3</v>
      </c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7" t="n">
        <f aca="false">J150+K150+L150+M150+N150+O150+P150+Q150+R150+S150+T150+U150</f>
        <v>3</v>
      </c>
      <c r="W150" s="47" t="n">
        <f aca="false">H150-V150</f>
        <v>-3</v>
      </c>
      <c r="X150" s="48" t="n">
        <v>16</v>
      </c>
      <c r="Y150" s="48" t="n">
        <f aca="false">B150*$X150</f>
        <v>0</v>
      </c>
      <c r="Z150" s="48" t="n">
        <f aca="false">C150*$X150</f>
        <v>0</v>
      </c>
      <c r="AA150" s="48" t="n">
        <f aca="false">D150*$X150</f>
        <v>0</v>
      </c>
      <c r="AB150" s="48" t="n">
        <f aca="false">E150*$X150</f>
        <v>0</v>
      </c>
      <c r="AC150" s="48" t="n">
        <f aca="false">F150*$X150</f>
        <v>0</v>
      </c>
      <c r="AD150" s="48" t="n">
        <f aca="false">G150*$X150</f>
        <v>0</v>
      </c>
      <c r="AE150" s="48" t="n">
        <f aca="false">H150*$X150</f>
        <v>0</v>
      </c>
      <c r="AF150" s="48" t="n">
        <f aca="false">I150*$X150</f>
        <v>0</v>
      </c>
      <c r="AG150" s="48" t="n">
        <f aca="false">J150*$X150</f>
        <v>48</v>
      </c>
      <c r="AH150" s="48" t="n">
        <f aca="false">K150*$X150</f>
        <v>0</v>
      </c>
      <c r="AI150" s="48" t="n">
        <f aca="false">L150*$X150</f>
        <v>0</v>
      </c>
      <c r="AJ150" s="48" t="n">
        <f aca="false">M150*$X150</f>
        <v>0</v>
      </c>
      <c r="AK150" s="48" t="n">
        <f aca="false">N150*$X150</f>
        <v>0</v>
      </c>
      <c r="AL150" s="48" t="n">
        <f aca="false">O150*$X150</f>
        <v>0</v>
      </c>
      <c r="AM150" s="48" t="n">
        <f aca="false">P150*$X150</f>
        <v>0</v>
      </c>
      <c r="AN150" s="48" t="n">
        <f aca="false">Q150*$X150</f>
        <v>0</v>
      </c>
      <c r="AO150" s="48" t="n">
        <f aca="false">R150*$X150</f>
        <v>0</v>
      </c>
      <c r="AP150" s="48" t="n">
        <f aca="false">S150*$X150</f>
        <v>0</v>
      </c>
      <c r="AQ150" s="48" t="n">
        <f aca="false">T150*$X150</f>
        <v>0</v>
      </c>
      <c r="AR150" s="48" t="n">
        <f aca="false">U150*$X150</f>
        <v>0</v>
      </c>
      <c r="AS150" s="48" t="n">
        <f aca="false">V150*$X150</f>
        <v>48</v>
      </c>
      <c r="AT150" s="48" t="n">
        <f aca="false">W150*$X150</f>
        <v>-48</v>
      </c>
      <c r="AU150" s="48" t="n">
        <f aca="false">X150*$X150</f>
        <v>256</v>
      </c>
      <c r="AV150" s="48" t="n">
        <f aca="false">Y150*$X150</f>
        <v>0</v>
      </c>
      <c r="AW150" s="48" t="n">
        <f aca="false">Z150*$X150</f>
        <v>0</v>
      </c>
      <c r="AX150" s="48" t="n">
        <f aca="false">AA150*$X150</f>
        <v>0</v>
      </c>
      <c r="AY150" s="48" t="n">
        <f aca="false">AB150*$X150</f>
        <v>0</v>
      </c>
      <c r="AZ150" s="48" t="n">
        <f aca="false">AC150*$X150</f>
        <v>0</v>
      </c>
      <c r="BA150" s="1"/>
      <c r="BB150" s="1"/>
      <c r="BC150" s="1"/>
      <c r="BD150" s="1"/>
      <c r="BE150" s="1"/>
      <c r="BF150" s="1"/>
    </row>
    <row r="151" s="48" customFormat="true" ht="15" hidden="false" customHeight="true" outlineLevel="0" collapsed="false">
      <c r="A151" s="42" t="s">
        <v>220</v>
      </c>
      <c r="B151" s="42" t="n">
        <v>2</v>
      </c>
      <c r="C151" s="43"/>
      <c r="D151" s="44"/>
      <c r="E151" s="44"/>
      <c r="F151" s="44"/>
      <c r="G151" s="44"/>
      <c r="H151" s="44" t="n">
        <f aca="false">B151+D151+E151+F151+G151+C151</f>
        <v>2</v>
      </c>
      <c r="I151" s="45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7" t="n">
        <f aca="false">J151+K151+L151+M151+N151+O151+P151+Q151+R151+S151+T151+U151</f>
        <v>0</v>
      </c>
      <c r="W151" s="47" t="n">
        <f aca="false">H151-V151</f>
        <v>2</v>
      </c>
      <c r="X151" s="48" t="n">
        <v>17.6</v>
      </c>
      <c r="Y151" s="48" t="n">
        <f aca="false">B151*$X151</f>
        <v>35.2</v>
      </c>
      <c r="Z151" s="48" t="n">
        <f aca="false">C151*$X151</f>
        <v>0</v>
      </c>
      <c r="AA151" s="48" t="n">
        <f aca="false">D151*$X151</f>
        <v>0</v>
      </c>
      <c r="AB151" s="48" t="n">
        <f aca="false">E151*$X151</f>
        <v>0</v>
      </c>
      <c r="AC151" s="48" t="n">
        <f aca="false">F151*$X151</f>
        <v>0</v>
      </c>
      <c r="AD151" s="48" t="n">
        <f aca="false">G151*$X151</f>
        <v>0</v>
      </c>
      <c r="AE151" s="48" t="n">
        <f aca="false">H151*$X151</f>
        <v>35.2</v>
      </c>
      <c r="AF151" s="48" t="n">
        <f aca="false">I151*$X151</f>
        <v>0</v>
      </c>
      <c r="AG151" s="48" t="n">
        <f aca="false">J151*$X151</f>
        <v>0</v>
      </c>
      <c r="AH151" s="48" t="n">
        <f aca="false">K151*$X151</f>
        <v>0</v>
      </c>
      <c r="AI151" s="48" t="n">
        <f aca="false">L151*$X151</f>
        <v>0</v>
      </c>
      <c r="AJ151" s="48" t="n">
        <f aca="false">M151*$X151</f>
        <v>0</v>
      </c>
      <c r="AK151" s="48" t="n">
        <f aca="false">N151*$X151</f>
        <v>0</v>
      </c>
      <c r="AL151" s="48" t="n">
        <f aca="false">O151*$X151</f>
        <v>0</v>
      </c>
      <c r="AM151" s="48" t="n">
        <f aca="false">P151*$X151</f>
        <v>0</v>
      </c>
      <c r="AN151" s="48" t="n">
        <f aca="false">Q151*$X151</f>
        <v>0</v>
      </c>
      <c r="AO151" s="48" t="n">
        <f aca="false">R151*$X151</f>
        <v>0</v>
      </c>
      <c r="AP151" s="48" t="n">
        <f aca="false">S151*$X151</f>
        <v>0</v>
      </c>
      <c r="AQ151" s="48" t="n">
        <f aca="false">T151*$X151</f>
        <v>0</v>
      </c>
      <c r="AR151" s="48" t="n">
        <f aca="false">U151*$X151</f>
        <v>0</v>
      </c>
      <c r="AS151" s="48" t="n">
        <f aca="false">V151*$X151</f>
        <v>0</v>
      </c>
      <c r="AT151" s="48" t="n">
        <f aca="false">W151*$X151</f>
        <v>35.2</v>
      </c>
      <c r="AU151" s="48" t="n">
        <f aca="false">X151*$X151</f>
        <v>309.76</v>
      </c>
      <c r="AV151" s="48" t="n">
        <f aca="false">Y151*$X151</f>
        <v>619.52</v>
      </c>
      <c r="AW151" s="48" t="n">
        <f aca="false">Z151*$X151</f>
        <v>0</v>
      </c>
      <c r="AX151" s="48" t="n">
        <f aca="false">AA151*$X151</f>
        <v>0</v>
      </c>
      <c r="AY151" s="48" t="n">
        <f aca="false">AB151*$X151</f>
        <v>0</v>
      </c>
      <c r="AZ151" s="48" t="n">
        <f aca="false">AC151*$X151</f>
        <v>0</v>
      </c>
      <c r="BA151" s="1"/>
      <c r="BB151" s="1"/>
      <c r="BC151" s="1"/>
      <c r="BD151" s="1"/>
      <c r="BE151" s="1"/>
      <c r="BF151" s="1"/>
    </row>
    <row r="152" s="48" customFormat="true" ht="15" hidden="false" customHeight="true" outlineLevel="0" collapsed="false">
      <c r="A152" s="42" t="s">
        <v>221</v>
      </c>
      <c r="B152" s="42" t="n">
        <v>0</v>
      </c>
      <c r="C152" s="43"/>
      <c r="D152" s="44"/>
      <c r="E152" s="44"/>
      <c r="F152" s="44"/>
      <c r="G152" s="44"/>
      <c r="H152" s="44" t="n">
        <f aca="false">B152+D152+E152+F152+G152+C152</f>
        <v>0</v>
      </c>
      <c r="I152" s="45"/>
      <c r="J152" s="49" t="n">
        <v>9</v>
      </c>
      <c r="K152" s="49"/>
      <c r="L152" s="49" t="n">
        <v>3</v>
      </c>
      <c r="M152" s="49"/>
      <c r="N152" s="49"/>
      <c r="O152" s="49" t="n">
        <v>0</v>
      </c>
      <c r="P152" s="49"/>
      <c r="Q152" s="49"/>
      <c r="R152" s="49"/>
      <c r="S152" s="49"/>
      <c r="T152" s="49"/>
      <c r="U152" s="49"/>
      <c r="V152" s="47" t="n">
        <f aca="false">J152+K152+L152+M152+N152+O152+P152+Q152+R152+S152+T152+U152</f>
        <v>12</v>
      </c>
      <c r="W152" s="47" t="n">
        <f aca="false">H152-V152</f>
        <v>-12</v>
      </c>
      <c r="X152" s="48" t="n">
        <v>20</v>
      </c>
      <c r="Y152" s="48" t="n">
        <f aca="false">B152*$X152</f>
        <v>0</v>
      </c>
      <c r="Z152" s="48" t="n">
        <f aca="false">C152*$X152</f>
        <v>0</v>
      </c>
      <c r="AA152" s="48" t="n">
        <f aca="false">D152*$X152</f>
        <v>0</v>
      </c>
      <c r="AB152" s="48" t="n">
        <f aca="false">E152*$X152</f>
        <v>0</v>
      </c>
      <c r="AC152" s="48" t="n">
        <f aca="false">F152*$X152</f>
        <v>0</v>
      </c>
      <c r="AD152" s="48" t="n">
        <f aca="false">G152*$X152</f>
        <v>0</v>
      </c>
      <c r="AE152" s="48" t="n">
        <f aca="false">H152*$X152</f>
        <v>0</v>
      </c>
      <c r="AF152" s="48" t="n">
        <f aca="false">I152*$X152</f>
        <v>0</v>
      </c>
      <c r="AG152" s="48" t="n">
        <f aca="false">J152*$X152</f>
        <v>180</v>
      </c>
      <c r="AH152" s="48" t="n">
        <f aca="false">K152*$X152</f>
        <v>0</v>
      </c>
      <c r="AI152" s="48" t="n">
        <f aca="false">L152*$X152</f>
        <v>60</v>
      </c>
      <c r="AJ152" s="48" t="n">
        <f aca="false">M152*$X152</f>
        <v>0</v>
      </c>
      <c r="AK152" s="48" t="n">
        <f aca="false">N152*$X152</f>
        <v>0</v>
      </c>
      <c r="AL152" s="48" t="n">
        <f aca="false">O152*$X152</f>
        <v>0</v>
      </c>
      <c r="AM152" s="48" t="n">
        <f aca="false">P152*$X152</f>
        <v>0</v>
      </c>
      <c r="AN152" s="48" t="n">
        <f aca="false">Q152*$X152</f>
        <v>0</v>
      </c>
      <c r="AO152" s="48" t="n">
        <f aca="false">R152*$X152</f>
        <v>0</v>
      </c>
      <c r="AP152" s="48" t="n">
        <f aca="false">S152*$X152</f>
        <v>0</v>
      </c>
      <c r="AQ152" s="48" t="n">
        <f aca="false">T152*$X152</f>
        <v>0</v>
      </c>
      <c r="AR152" s="48" t="n">
        <f aca="false">U152*$X152</f>
        <v>0</v>
      </c>
      <c r="AS152" s="48" t="n">
        <f aca="false">V152*$X152</f>
        <v>240</v>
      </c>
      <c r="AT152" s="48" t="n">
        <f aca="false">W152*$X152</f>
        <v>-240</v>
      </c>
      <c r="AU152" s="48" t="n">
        <f aca="false">X152*$X152</f>
        <v>400</v>
      </c>
      <c r="AV152" s="48" t="n">
        <f aca="false">Y152*$X152</f>
        <v>0</v>
      </c>
      <c r="AW152" s="48" t="n">
        <f aca="false">Z152*$X152</f>
        <v>0</v>
      </c>
      <c r="AX152" s="48" t="n">
        <f aca="false">AA152*$X152</f>
        <v>0</v>
      </c>
      <c r="AY152" s="48" t="n">
        <f aca="false">AB152*$X152</f>
        <v>0</v>
      </c>
      <c r="AZ152" s="48" t="n">
        <f aca="false">AC152*$X152</f>
        <v>0</v>
      </c>
      <c r="BA152" s="1"/>
      <c r="BB152" s="1"/>
      <c r="BC152" s="1"/>
      <c r="BD152" s="1"/>
      <c r="BE152" s="1"/>
      <c r="BF152" s="1"/>
    </row>
    <row r="153" s="48" customFormat="true" ht="15" hidden="false" customHeight="true" outlineLevel="0" collapsed="false">
      <c r="A153" s="42" t="s">
        <v>222</v>
      </c>
      <c r="B153" s="42" t="n">
        <v>18</v>
      </c>
      <c r="C153" s="43"/>
      <c r="D153" s="44"/>
      <c r="E153" s="44"/>
      <c r="F153" s="44"/>
      <c r="G153" s="44"/>
      <c r="H153" s="44" t="n">
        <f aca="false">B153+D153+E153+F153+G153+C153</f>
        <v>18</v>
      </c>
      <c r="I153" s="45"/>
      <c r="J153" s="49" t="n">
        <v>24</v>
      </c>
      <c r="K153" s="49"/>
      <c r="L153" s="49" t="n">
        <v>18</v>
      </c>
      <c r="M153" s="49"/>
      <c r="N153" s="49"/>
      <c r="O153" s="49"/>
      <c r="P153" s="49"/>
      <c r="Q153" s="49"/>
      <c r="R153" s="49"/>
      <c r="S153" s="49"/>
      <c r="T153" s="49"/>
      <c r="U153" s="49"/>
      <c r="V153" s="47" t="n">
        <f aca="false">J153+K153+L153+M153+N153+O153+P153+Q153+R153+S153+T153+U153</f>
        <v>42</v>
      </c>
      <c r="W153" s="47" t="n">
        <f aca="false">H153-V153</f>
        <v>-24</v>
      </c>
      <c r="X153" s="48" t="n">
        <v>24</v>
      </c>
      <c r="Y153" s="48" t="n">
        <f aca="false">B153*$X153</f>
        <v>432</v>
      </c>
      <c r="Z153" s="48" t="n">
        <f aca="false">C153*$X153</f>
        <v>0</v>
      </c>
      <c r="AA153" s="48" t="n">
        <f aca="false">D153*$X153</f>
        <v>0</v>
      </c>
      <c r="AB153" s="48" t="n">
        <f aca="false">E153*$X153</f>
        <v>0</v>
      </c>
      <c r="AC153" s="48" t="n">
        <f aca="false">F153*$X153</f>
        <v>0</v>
      </c>
      <c r="AD153" s="48" t="n">
        <f aca="false">G153*$X153</f>
        <v>0</v>
      </c>
      <c r="AE153" s="48" t="n">
        <f aca="false">H153*$X153</f>
        <v>432</v>
      </c>
      <c r="AF153" s="48" t="n">
        <f aca="false">I153*$X153</f>
        <v>0</v>
      </c>
      <c r="AG153" s="48" t="n">
        <f aca="false">J153*$X153</f>
        <v>576</v>
      </c>
      <c r="AH153" s="48" t="n">
        <f aca="false">K153*$X153</f>
        <v>0</v>
      </c>
      <c r="AI153" s="48" t="n">
        <f aca="false">L153*$X153</f>
        <v>432</v>
      </c>
      <c r="AJ153" s="48" t="n">
        <f aca="false">M153*$X153</f>
        <v>0</v>
      </c>
      <c r="AK153" s="48" t="n">
        <f aca="false">N153*$X153</f>
        <v>0</v>
      </c>
      <c r="AL153" s="48" t="n">
        <f aca="false">O153*$X153</f>
        <v>0</v>
      </c>
      <c r="AM153" s="48" t="n">
        <f aca="false">P153*$X153</f>
        <v>0</v>
      </c>
      <c r="AN153" s="48" t="n">
        <f aca="false">Q153*$X153</f>
        <v>0</v>
      </c>
      <c r="AO153" s="48" t="n">
        <f aca="false">R153*$X153</f>
        <v>0</v>
      </c>
      <c r="AP153" s="48" t="n">
        <f aca="false">S153*$X153</f>
        <v>0</v>
      </c>
      <c r="AQ153" s="48" t="n">
        <f aca="false">T153*$X153</f>
        <v>0</v>
      </c>
      <c r="AR153" s="48" t="n">
        <f aca="false">U153*$X153</f>
        <v>0</v>
      </c>
      <c r="AS153" s="48" t="n">
        <f aca="false">V153*$X153</f>
        <v>1008</v>
      </c>
      <c r="AT153" s="48" t="n">
        <f aca="false">W153*$X153</f>
        <v>-576</v>
      </c>
      <c r="AU153" s="48" t="n">
        <f aca="false">X153*$X153</f>
        <v>576</v>
      </c>
      <c r="AV153" s="48" t="n">
        <f aca="false">Y153*$X153</f>
        <v>10368</v>
      </c>
      <c r="AW153" s="48" t="n">
        <f aca="false">Z153*$X153</f>
        <v>0</v>
      </c>
      <c r="AX153" s="48" t="n">
        <f aca="false">AA153*$X153</f>
        <v>0</v>
      </c>
      <c r="AY153" s="48" t="n">
        <f aca="false">AB153*$X153</f>
        <v>0</v>
      </c>
      <c r="AZ153" s="48" t="n">
        <f aca="false">AC153*$X153</f>
        <v>0</v>
      </c>
      <c r="BA153" s="1"/>
      <c r="BB153" s="1"/>
      <c r="BC153" s="1"/>
      <c r="BD153" s="1"/>
      <c r="BE153" s="1"/>
      <c r="BF153" s="1"/>
    </row>
    <row r="154" s="48" customFormat="true" ht="15" hidden="false" customHeight="true" outlineLevel="0" collapsed="false">
      <c r="A154" s="42" t="s">
        <v>223</v>
      </c>
      <c r="B154" s="42" t="n">
        <v>1644</v>
      </c>
      <c r="C154" s="43"/>
      <c r="D154" s="44"/>
      <c r="E154" s="44" t="n">
        <v>18</v>
      </c>
      <c r="F154" s="44"/>
      <c r="G154" s="44" t="n">
        <v>16</v>
      </c>
      <c r="H154" s="44" t="n">
        <f aca="false">B154+D154+E154+F154+G154+C154</f>
        <v>1678</v>
      </c>
      <c r="I154" s="45"/>
      <c r="J154" s="49"/>
      <c r="K154" s="49"/>
      <c r="L154" s="49"/>
      <c r="M154" s="49" t="n">
        <v>528</v>
      </c>
      <c r="N154" s="49"/>
      <c r="O154" s="49"/>
      <c r="P154" s="49" t="n">
        <v>347</v>
      </c>
      <c r="Q154" s="49"/>
      <c r="R154" s="49"/>
      <c r="S154" s="49"/>
      <c r="T154" s="49" t="n">
        <v>250</v>
      </c>
      <c r="U154" s="49" t="n">
        <v>145</v>
      </c>
      <c r="V154" s="47" t="n">
        <f aca="false">J154+K154+L154+M154+N154+O154+P154+Q154+R154+S154+T154+U154</f>
        <v>1270</v>
      </c>
      <c r="W154" s="47" t="n">
        <f aca="false">H154-V154</f>
        <v>408</v>
      </c>
      <c r="X154" s="48" t="n">
        <v>1.82</v>
      </c>
      <c r="Y154" s="48" t="n">
        <f aca="false">B154*$X154</f>
        <v>2992.08</v>
      </c>
      <c r="Z154" s="48" t="n">
        <f aca="false">C154*$X154</f>
        <v>0</v>
      </c>
      <c r="AA154" s="48" t="n">
        <f aca="false">D154*$X154</f>
        <v>0</v>
      </c>
      <c r="AB154" s="48" t="n">
        <f aca="false">E154*$X154</f>
        <v>32.76</v>
      </c>
      <c r="AC154" s="48" t="n">
        <f aca="false">F154*$X154</f>
        <v>0</v>
      </c>
      <c r="AD154" s="48" t="n">
        <f aca="false">G154*$X154</f>
        <v>29.12</v>
      </c>
      <c r="AE154" s="48" t="n">
        <f aca="false">H154*$X154</f>
        <v>3053.96</v>
      </c>
      <c r="AF154" s="48" t="n">
        <f aca="false">I154*$X154</f>
        <v>0</v>
      </c>
      <c r="AG154" s="48" t="n">
        <f aca="false">J154*$X154</f>
        <v>0</v>
      </c>
      <c r="AH154" s="48" t="n">
        <f aca="false">K154*$X154</f>
        <v>0</v>
      </c>
      <c r="AI154" s="48" t="n">
        <f aca="false">L154*$X154</f>
        <v>0</v>
      </c>
      <c r="AJ154" s="48" t="n">
        <f aca="false">M154*$X154</f>
        <v>960.96</v>
      </c>
      <c r="AK154" s="48" t="n">
        <f aca="false">N154*$X154</f>
        <v>0</v>
      </c>
      <c r="AL154" s="48" t="n">
        <f aca="false">O154*$X154</f>
        <v>0</v>
      </c>
      <c r="AM154" s="48" t="n">
        <f aca="false">P154*$X154</f>
        <v>631.54</v>
      </c>
      <c r="AN154" s="48" t="n">
        <f aca="false">Q154*$X154</f>
        <v>0</v>
      </c>
      <c r="AO154" s="48" t="n">
        <f aca="false">R154*$X154</f>
        <v>0</v>
      </c>
      <c r="AP154" s="48" t="n">
        <f aca="false">S154*$X154</f>
        <v>0</v>
      </c>
      <c r="AQ154" s="48" t="n">
        <f aca="false">T154*$X154</f>
        <v>455</v>
      </c>
      <c r="AR154" s="48" t="n">
        <f aca="false">U154*$X154</f>
        <v>263.9</v>
      </c>
      <c r="AS154" s="48" t="n">
        <f aca="false">V154*$X154</f>
        <v>2311.4</v>
      </c>
      <c r="AT154" s="48" t="n">
        <f aca="false">W154*$X154</f>
        <v>742.56</v>
      </c>
      <c r="AU154" s="48" t="n">
        <f aca="false">X154*$X154</f>
        <v>3.3124</v>
      </c>
      <c r="AV154" s="48" t="n">
        <f aca="false">Y154*$X154</f>
        <v>5445.5856</v>
      </c>
      <c r="AW154" s="48" t="n">
        <f aca="false">Z154*$X154</f>
        <v>0</v>
      </c>
      <c r="AX154" s="48" t="n">
        <f aca="false">AA154*$X154</f>
        <v>0</v>
      </c>
      <c r="AY154" s="48" t="n">
        <f aca="false">AB154*$X154</f>
        <v>59.6232</v>
      </c>
      <c r="AZ154" s="48" t="n">
        <f aca="false">AC154*$X154</f>
        <v>0</v>
      </c>
      <c r="BA154" s="1"/>
      <c r="BB154" s="1"/>
      <c r="BC154" s="1"/>
      <c r="BD154" s="1"/>
      <c r="BE154" s="1"/>
      <c r="BF154" s="1"/>
    </row>
    <row r="155" s="48" customFormat="true" ht="15" hidden="false" customHeight="true" outlineLevel="0" collapsed="false">
      <c r="A155" s="42" t="s">
        <v>224</v>
      </c>
      <c r="B155" s="42" t="n">
        <v>0</v>
      </c>
      <c r="C155" s="43"/>
      <c r="D155" s="44"/>
      <c r="E155" s="44"/>
      <c r="F155" s="44"/>
      <c r="G155" s="44"/>
      <c r="H155" s="44" t="n">
        <f aca="false">B155+D155+E155+F155+G155+C155</f>
        <v>0</v>
      </c>
      <c r="I155" s="45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7" t="n">
        <f aca="false">J155+K155+L155+M155+N155+O155+P155+Q155+R155+S155+T155+U155</f>
        <v>0</v>
      </c>
      <c r="W155" s="47" t="n">
        <f aca="false">H155-V155</f>
        <v>0</v>
      </c>
      <c r="X155" s="48" t="n">
        <v>1.82</v>
      </c>
      <c r="Y155" s="48" t="n">
        <f aca="false">B155*$X155</f>
        <v>0</v>
      </c>
      <c r="Z155" s="48" t="n">
        <f aca="false">C155*$X155</f>
        <v>0</v>
      </c>
      <c r="AA155" s="48" t="n">
        <f aca="false">D155*$X155</f>
        <v>0</v>
      </c>
      <c r="AB155" s="48" t="n">
        <f aca="false">E155*$X155</f>
        <v>0</v>
      </c>
      <c r="AC155" s="48" t="n">
        <f aca="false">F155*$X155</f>
        <v>0</v>
      </c>
      <c r="AD155" s="48" t="n">
        <f aca="false">G155*$X155</f>
        <v>0</v>
      </c>
      <c r="AE155" s="48" t="n">
        <f aca="false">H155*$X155</f>
        <v>0</v>
      </c>
      <c r="AF155" s="48" t="n">
        <f aca="false">I155*$X155</f>
        <v>0</v>
      </c>
      <c r="AG155" s="48" t="n">
        <f aca="false">J155*$X155</f>
        <v>0</v>
      </c>
      <c r="AH155" s="48" t="n">
        <f aca="false">K155*$X155</f>
        <v>0</v>
      </c>
      <c r="AI155" s="48" t="n">
        <f aca="false">L155*$X155</f>
        <v>0</v>
      </c>
      <c r="AJ155" s="48" t="n">
        <f aca="false">M155*$X155</f>
        <v>0</v>
      </c>
      <c r="AK155" s="48" t="n">
        <f aca="false">N155*$X155</f>
        <v>0</v>
      </c>
      <c r="AL155" s="48" t="n">
        <f aca="false">O155*$X155</f>
        <v>0</v>
      </c>
      <c r="AM155" s="48" t="n">
        <f aca="false">P155*$X155</f>
        <v>0</v>
      </c>
      <c r="AN155" s="48" t="n">
        <f aca="false">Q155*$X155</f>
        <v>0</v>
      </c>
      <c r="AO155" s="48" t="n">
        <f aca="false">R155*$X155</f>
        <v>0</v>
      </c>
      <c r="AP155" s="48" t="n">
        <f aca="false">S155*$X155</f>
        <v>0</v>
      </c>
      <c r="AQ155" s="48" t="n">
        <f aca="false">T155*$X155</f>
        <v>0</v>
      </c>
      <c r="AR155" s="48" t="n">
        <f aca="false">U155*$X155</f>
        <v>0</v>
      </c>
      <c r="AS155" s="48" t="n">
        <f aca="false">V155*$X155</f>
        <v>0</v>
      </c>
      <c r="AT155" s="48" t="n">
        <f aca="false">W155*$X155</f>
        <v>0</v>
      </c>
      <c r="AU155" s="48" t="n">
        <f aca="false">X155*$X155</f>
        <v>3.3124</v>
      </c>
      <c r="AV155" s="48" t="n">
        <f aca="false">Y155*$X155</f>
        <v>0</v>
      </c>
      <c r="AW155" s="48" t="n">
        <f aca="false">Z155*$X155</f>
        <v>0</v>
      </c>
      <c r="AX155" s="48" t="n">
        <f aca="false">AA155*$X155</f>
        <v>0</v>
      </c>
      <c r="AY155" s="48" t="n">
        <f aca="false">AB155*$X155</f>
        <v>0</v>
      </c>
      <c r="AZ155" s="48" t="n">
        <f aca="false">AC155*$X155</f>
        <v>0</v>
      </c>
      <c r="BA155" s="1"/>
      <c r="BB155" s="1"/>
      <c r="BC155" s="1"/>
      <c r="BD155" s="1"/>
      <c r="BE155" s="1"/>
      <c r="BF155" s="1"/>
    </row>
    <row r="156" s="48" customFormat="true" ht="15" hidden="false" customHeight="true" outlineLevel="0" collapsed="false">
      <c r="A156" s="42" t="s">
        <v>225</v>
      </c>
      <c r="B156" s="42" t="n">
        <v>0</v>
      </c>
      <c r="C156" s="43"/>
      <c r="D156" s="44" t="n">
        <v>58</v>
      </c>
      <c r="E156" s="44"/>
      <c r="F156" s="44"/>
      <c r="G156" s="44"/>
      <c r="H156" s="44" t="n">
        <f aca="false">B156+D156+E156+F156+G156+C156</f>
        <v>58</v>
      </c>
      <c r="I156" s="45"/>
      <c r="J156" s="49"/>
      <c r="K156" s="49"/>
      <c r="L156" s="49" t="n">
        <v>7</v>
      </c>
      <c r="M156" s="49"/>
      <c r="N156" s="49"/>
      <c r="O156" s="49"/>
      <c r="P156" s="49"/>
      <c r="Q156" s="49"/>
      <c r="R156" s="49"/>
      <c r="S156" s="49"/>
      <c r="T156" s="49"/>
      <c r="U156" s="49"/>
      <c r="V156" s="47" t="n">
        <f aca="false">J156+K156+L156+M156+N156+O156+P156+Q156+R156+S156+T156+U156</f>
        <v>7</v>
      </c>
      <c r="W156" s="47" t="n">
        <f aca="false">H156-V156</f>
        <v>51</v>
      </c>
      <c r="X156" s="48" t="n">
        <v>5.32</v>
      </c>
      <c r="Y156" s="48" t="n">
        <f aca="false">B156*$X156</f>
        <v>0</v>
      </c>
      <c r="Z156" s="48" t="n">
        <f aca="false">C156*$X156</f>
        <v>0</v>
      </c>
      <c r="AA156" s="48" t="n">
        <f aca="false">D156*$X156</f>
        <v>308.56</v>
      </c>
      <c r="AB156" s="48" t="n">
        <f aca="false">E156*$X156</f>
        <v>0</v>
      </c>
      <c r="AC156" s="48" t="n">
        <f aca="false">F156*$X156</f>
        <v>0</v>
      </c>
      <c r="AD156" s="48" t="n">
        <f aca="false">G156*$X156</f>
        <v>0</v>
      </c>
      <c r="AE156" s="48" t="n">
        <f aca="false">H156*$X156</f>
        <v>308.56</v>
      </c>
      <c r="AF156" s="48" t="n">
        <f aca="false">I156*$X156</f>
        <v>0</v>
      </c>
      <c r="AG156" s="48" t="n">
        <f aca="false">J156*$X156</f>
        <v>0</v>
      </c>
      <c r="AH156" s="48" t="n">
        <f aca="false">K156*$X156</f>
        <v>0</v>
      </c>
      <c r="AI156" s="48" t="n">
        <f aca="false">L156*$X156</f>
        <v>37.24</v>
      </c>
      <c r="AJ156" s="48" t="n">
        <f aca="false">M156*$X156</f>
        <v>0</v>
      </c>
      <c r="AK156" s="48" t="n">
        <f aca="false">N156*$X156</f>
        <v>0</v>
      </c>
      <c r="AL156" s="48" t="n">
        <f aca="false">O156*$X156</f>
        <v>0</v>
      </c>
      <c r="AM156" s="48" t="n">
        <f aca="false">P156*$X156</f>
        <v>0</v>
      </c>
      <c r="AN156" s="48" t="n">
        <f aca="false">Q156*$X156</f>
        <v>0</v>
      </c>
      <c r="AO156" s="48" t="n">
        <f aca="false">R156*$X156</f>
        <v>0</v>
      </c>
      <c r="AP156" s="48" t="n">
        <f aca="false">S156*$X156</f>
        <v>0</v>
      </c>
      <c r="AQ156" s="48" t="n">
        <f aca="false">T156*$X156</f>
        <v>0</v>
      </c>
      <c r="AR156" s="48" t="n">
        <f aca="false">U156*$X156</f>
        <v>0</v>
      </c>
      <c r="AS156" s="48" t="n">
        <f aca="false">V156*$X156</f>
        <v>37.24</v>
      </c>
      <c r="AT156" s="48" t="n">
        <f aca="false">W156*$X156</f>
        <v>271.32</v>
      </c>
      <c r="AU156" s="48" t="n">
        <f aca="false">X156*$X156</f>
        <v>28.3024</v>
      </c>
      <c r="AV156" s="48" t="n">
        <f aca="false">Y156*$X156</f>
        <v>0</v>
      </c>
      <c r="AW156" s="48" t="n">
        <f aca="false">Z156*$X156</f>
        <v>0</v>
      </c>
      <c r="AX156" s="48" t="n">
        <f aca="false">AA156*$X156</f>
        <v>1641.5392</v>
      </c>
      <c r="AY156" s="48" t="n">
        <f aca="false">AB156*$X156</f>
        <v>0</v>
      </c>
      <c r="AZ156" s="48" t="n">
        <f aca="false">AC156*$X156</f>
        <v>0</v>
      </c>
      <c r="BA156" s="1"/>
      <c r="BB156" s="1"/>
      <c r="BC156" s="1"/>
      <c r="BD156" s="1"/>
      <c r="BE156" s="1"/>
      <c r="BF156" s="1"/>
    </row>
    <row r="157" s="48" customFormat="true" ht="15" hidden="false" customHeight="true" outlineLevel="0" collapsed="false">
      <c r="A157" s="42" t="s">
        <v>226</v>
      </c>
      <c r="B157" s="42" t="n">
        <v>0</v>
      </c>
      <c r="C157" s="43"/>
      <c r="D157" s="44"/>
      <c r="E157" s="44"/>
      <c r="F157" s="44"/>
      <c r="G157" s="44"/>
      <c r="H157" s="44" t="n">
        <f aca="false">B157+D157+E157+F157+G157+C157</f>
        <v>0</v>
      </c>
      <c r="I157" s="45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7" t="n">
        <f aca="false">J157+K157+L157+M157+N157+O157+P157+Q157+R157+S157+T157+U157</f>
        <v>0</v>
      </c>
      <c r="W157" s="47" t="n">
        <f aca="false">H157-V157</f>
        <v>0</v>
      </c>
      <c r="X157" s="48" t="n">
        <v>7.48</v>
      </c>
      <c r="Y157" s="48" t="n">
        <f aca="false">B157*$X157</f>
        <v>0</v>
      </c>
      <c r="Z157" s="48" t="n">
        <f aca="false">C157*$X157</f>
        <v>0</v>
      </c>
      <c r="AA157" s="48" t="n">
        <f aca="false">D157*$X157</f>
        <v>0</v>
      </c>
      <c r="AB157" s="48" t="n">
        <f aca="false">E157*$X157</f>
        <v>0</v>
      </c>
      <c r="AC157" s="48" t="n">
        <f aca="false">F157*$X157</f>
        <v>0</v>
      </c>
      <c r="AD157" s="48" t="n">
        <f aca="false">G157*$X157</f>
        <v>0</v>
      </c>
      <c r="AE157" s="48" t="n">
        <f aca="false">H157*$X157</f>
        <v>0</v>
      </c>
      <c r="AF157" s="48" t="n">
        <f aca="false">I157*$X157</f>
        <v>0</v>
      </c>
      <c r="AG157" s="48" t="n">
        <f aca="false">J157*$X157</f>
        <v>0</v>
      </c>
      <c r="AH157" s="48" t="n">
        <f aca="false">K157*$X157</f>
        <v>0</v>
      </c>
      <c r="AI157" s="48" t="n">
        <f aca="false">L157*$X157</f>
        <v>0</v>
      </c>
      <c r="AJ157" s="48" t="n">
        <f aca="false">M157*$X157</f>
        <v>0</v>
      </c>
      <c r="AK157" s="48" t="n">
        <f aca="false">N157*$X157</f>
        <v>0</v>
      </c>
      <c r="AL157" s="48" t="n">
        <f aca="false">O157*$X157</f>
        <v>0</v>
      </c>
      <c r="AM157" s="48" t="n">
        <f aca="false">P157*$X157</f>
        <v>0</v>
      </c>
      <c r="AN157" s="48" t="n">
        <f aca="false">Q157*$X157</f>
        <v>0</v>
      </c>
      <c r="AO157" s="48" t="n">
        <f aca="false">R157*$X157</f>
        <v>0</v>
      </c>
      <c r="AP157" s="48" t="n">
        <f aca="false">S157*$X157</f>
        <v>0</v>
      </c>
      <c r="AQ157" s="48" t="n">
        <f aca="false">T157*$X157</f>
        <v>0</v>
      </c>
      <c r="AR157" s="48" t="n">
        <f aca="false">U157*$X157</f>
        <v>0</v>
      </c>
      <c r="AS157" s="48" t="n">
        <f aca="false">V157*$X157</f>
        <v>0</v>
      </c>
      <c r="AT157" s="48" t="n">
        <f aca="false">W157*$X157</f>
        <v>0</v>
      </c>
      <c r="AU157" s="48" t="n">
        <f aca="false">X157*$X157</f>
        <v>55.9504</v>
      </c>
      <c r="AV157" s="48" t="n">
        <f aca="false">Y157*$X157</f>
        <v>0</v>
      </c>
      <c r="AW157" s="48" t="n">
        <f aca="false">Z157*$X157</f>
        <v>0</v>
      </c>
      <c r="AX157" s="48" t="n">
        <f aca="false">AA157*$X157</f>
        <v>0</v>
      </c>
      <c r="AY157" s="48" t="n">
        <f aca="false">AB157*$X157</f>
        <v>0</v>
      </c>
      <c r="AZ157" s="48" t="n">
        <f aca="false">AC157*$X157</f>
        <v>0</v>
      </c>
      <c r="BA157" s="1"/>
      <c r="BB157" s="1"/>
      <c r="BC157" s="1"/>
      <c r="BD157" s="1"/>
      <c r="BE157" s="1"/>
      <c r="BF157" s="1"/>
    </row>
    <row r="158" s="48" customFormat="true" ht="15" hidden="false" customHeight="true" outlineLevel="0" collapsed="false">
      <c r="A158" s="42" t="s">
        <v>227</v>
      </c>
      <c r="B158" s="42" t="n">
        <v>0</v>
      </c>
      <c r="C158" s="43"/>
      <c r="D158" s="44"/>
      <c r="E158" s="44"/>
      <c r="F158" s="44"/>
      <c r="G158" s="44"/>
      <c r="H158" s="44" t="n">
        <f aca="false">B158+D158+E158+F158+G158+C158</f>
        <v>0</v>
      </c>
      <c r="I158" s="45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7" t="n">
        <f aca="false">J158+K158+L158+M158+N158+O158+P158+Q158+R158+S158+T158+U158</f>
        <v>0</v>
      </c>
      <c r="W158" s="47" t="n">
        <f aca="false">H158-V158</f>
        <v>0</v>
      </c>
      <c r="X158" s="48" t="n">
        <v>10.64</v>
      </c>
      <c r="Y158" s="48" t="n">
        <f aca="false">B158*$X158</f>
        <v>0</v>
      </c>
      <c r="Z158" s="48" t="n">
        <f aca="false">C158*$X158</f>
        <v>0</v>
      </c>
      <c r="AA158" s="48" t="n">
        <f aca="false">D158*$X158</f>
        <v>0</v>
      </c>
      <c r="AB158" s="48" t="n">
        <f aca="false">E158*$X158</f>
        <v>0</v>
      </c>
      <c r="AC158" s="48" t="n">
        <f aca="false">F158*$X158</f>
        <v>0</v>
      </c>
      <c r="AD158" s="48" t="n">
        <f aca="false">G158*$X158</f>
        <v>0</v>
      </c>
      <c r="AE158" s="48" t="n">
        <f aca="false">H158*$X158</f>
        <v>0</v>
      </c>
      <c r="AF158" s="48" t="n">
        <f aca="false">I158*$X158</f>
        <v>0</v>
      </c>
      <c r="AG158" s="48" t="n">
        <f aca="false">J158*$X158</f>
        <v>0</v>
      </c>
      <c r="AH158" s="48" t="n">
        <f aca="false">K158*$X158</f>
        <v>0</v>
      </c>
      <c r="AI158" s="48" t="n">
        <f aca="false">L158*$X158</f>
        <v>0</v>
      </c>
      <c r="AJ158" s="48" t="n">
        <f aca="false">M158*$X158</f>
        <v>0</v>
      </c>
      <c r="AK158" s="48" t="n">
        <f aca="false">N158*$X158</f>
        <v>0</v>
      </c>
      <c r="AL158" s="48" t="n">
        <f aca="false">O158*$X158</f>
        <v>0</v>
      </c>
      <c r="AM158" s="48" t="n">
        <f aca="false">P158*$X158</f>
        <v>0</v>
      </c>
      <c r="AN158" s="48" t="n">
        <f aca="false">Q158*$X158</f>
        <v>0</v>
      </c>
      <c r="AO158" s="48" t="n">
        <f aca="false">R158*$X158</f>
        <v>0</v>
      </c>
      <c r="AP158" s="48" t="n">
        <f aca="false">S158*$X158</f>
        <v>0</v>
      </c>
      <c r="AQ158" s="48" t="n">
        <f aca="false">T158*$X158</f>
        <v>0</v>
      </c>
      <c r="AR158" s="48" t="n">
        <f aca="false">U158*$X158</f>
        <v>0</v>
      </c>
      <c r="AS158" s="48" t="n">
        <f aca="false">V158*$X158</f>
        <v>0</v>
      </c>
      <c r="AT158" s="48" t="n">
        <f aca="false">W158*$X158</f>
        <v>0</v>
      </c>
      <c r="AU158" s="48" t="n">
        <f aca="false">X158*$X158</f>
        <v>113.2096</v>
      </c>
      <c r="AV158" s="48" t="n">
        <f aca="false">Y158*$X158</f>
        <v>0</v>
      </c>
      <c r="AW158" s="48" t="n">
        <f aca="false">Z158*$X158</f>
        <v>0</v>
      </c>
      <c r="AX158" s="48" t="n">
        <f aca="false">AA158*$X158</f>
        <v>0</v>
      </c>
      <c r="AY158" s="48" t="n">
        <f aca="false">AB158*$X158</f>
        <v>0</v>
      </c>
      <c r="AZ158" s="48" t="n">
        <f aca="false">AC158*$X158</f>
        <v>0</v>
      </c>
      <c r="BA158" s="1"/>
      <c r="BB158" s="1"/>
      <c r="BC158" s="1"/>
      <c r="BD158" s="1"/>
      <c r="BE158" s="1"/>
      <c r="BF158" s="1"/>
    </row>
    <row r="159" s="48" customFormat="true" ht="15" hidden="false" customHeight="true" outlineLevel="0" collapsed="false">
      <c r="A159" s="42" t="s">
        <v>228</v>
      </c>
      <c r="B159" s="42" t="n">
        <v>0</v>
      </c>
      <c r="C159" s="43"/>
      <c r="D159" s="44" t="n">
        <v>58</v>
      </c>
      <c r="E159" s="44" t="n">
        <v>36</v>
      </c>
      <c r="F159" s="44"/>
      <c r="G159" s="44"/>
      <c r="H159" s="44" t="n">
        <f aca="false">B159+D159+E159+F159+G159+C159</f>
        <v>94</v>
      </c>
      <c r="I159" s="45"/>
      <c r="J159" s="49" t="n">
        <v>30</v>
      </c>
      <c r="K159" s="49"/>
      <c r="L159" s="49" t="n">
        <v>11</v>
      </c>
      <c r="M159" s="49"/>
      <c r="N159" s="49"/>
      <c r="O159" s="49"/>
      <c r="P159" s="49"/>
      <c r="Q159" s="49"/>
      <c r="R159" s="49"/>
      <c r="S159" s="49"/>
      <c r="T159" s="49"/>
      <c r="U159" s="49"/>
      <c r="V159" s="47" t="n">
        <f aca="false">J159+K159+L159+M159+N159+O159+P159+Q159+R159+S159+T159+U159</f>
        <v>41</v>
      </c>
      <c r="W159" s="47" t="n">
        <f aca="false">H159-V159</f>
        <v>53</v>
      </c>
      <c r="X159" s="48" t="n">
        <v>13.3</v>
      </c>
      <c r="Y159" s="48" t="n">
        <f aca="false">B159*$X159</f>
        <v>0</v>
      </c>
      <c r="Z159" s="48" t="n">
        <f aca="false">C159*$X159</f>
        <v>0</v>
      </c>
      <c r="AA159" s="48" t="n">
        <f aca="false">D159*$X159</f>
        <v>771.4</v>
      </c>
      <c r="AB159" s="48" t="n">
        <f aca="false">E159*$X159</f>
        <v>478.8</v>
      </c>
      <c r="AC159" s="48" t="n">
        <f aca="false">F159*$X159</f>
        <v>0</v>
      </c>
      <c r="AD159" s="48" t="n">
        <f aca="false">G159*$X159</f>
        <v>0</v>
      </c>
      <c r="AE159" s="48" t="n">
        <f aca="false">H159*$X159</f>
        <v>1250.2</v>
      </c>
      <c r="AF159" s="48" t="n">
        <f aca="false">I159*$X159</f>
        <v>0</v>
      </c>
      <c r="AG159" s="48" t="n">
        <f aca="false">J159*$X159</f>
        <v>399</v>
      </c>
      <c r="AH159" s="48" t="n">
        <f aca="false">K159*$X159</f>
        <v>0</v>
      </c>
      <c r="AI159" s="48" t="n">
        <f aca="false">L159*$X159</f>
        <v>146.3</v>
      </c>
      <c r="AJ159" s="48" t="n">
        <f aca="false">M159*$X159</f>
        <v>0</v>
      </c>
      <c r="AK159" s="48" t="n">
        <f aca="false">N159*$X159</f>
        <v>0</v>
      </c>
      <c r="AL159" s="48" t="n">
        <f aca="false">O159*$X159</f>
        <v>0</v>
      </c>
      <c r="AM159" s="48" t="n">
        <f aca="false">P159*$X159</f>
        <v>0</v>
      </c>
      <c r="AN159" s="48" t="n">
        <f aca="false">Q159*$X159</f>
        <v>0</v>
      </c>
      <c r="AO159" s="48" t="n">
        <f aca="false">R159*$X159</f>
        <v>0</v>
      </c>
      <c r="AP159" s="48" t="n">
        <f aca="false">S159*$X159</f>
        <v>0</v>
      </c>
      <c r="AQ159" s="48" t="n">
        <f aca="false">T159*$X159</f>
        <v>0</v>
      </c>
      <c r="AR159" s="48" t="n">
        <f aca="false">U159*$X159</f>
        <v>0</v>
      </c>
      <c r="AS159" s="48" t="n">
        <f aca="false">V159*$X159</f>
        <v>545.3</v>
      </c>
      <c r="AT159" s="48" t="n">
        <f aca="false">W159*$X159</f>
        <v>704.9</v>
      </c>
      <c r="AU159" s="48" t="n">
        <f aca="false">X159*$X159</f>
        <v>176.89</v>
      </c>
      <c r="AV159" s="48" t="n">
        <f aca="false">Y159*$X159</f>
        <v>0</v>
      </c>
      <c r="AW159" s="48" t="n">
        <f aca="false">Z159*$X159</f>
        <v>0</v>
      </c>
      <c r="AX159" s="48" t="n">
        <f aca="false">AA159*$X159</f>
        <v>10259.62</v>
      </c>
      <c r="AY159" s="48" t="n">
        <f aca="false">AB159*$X159</f>
        <v>6368.04</v>
      </c>
      <c r="AZ159" s="48" t="n">
        <f aca="false">AC159*$X159</f>
        <v>0</v>
      </c>
      <c r="BA159" s="1"/>
      <c r="BB159" s="1"/>
      <c r="BC159" s="1"/>
      <c r="BD159" s="1"/>
      <c r="BE159" s="1"/>
      <c r="BF159" s="1"/>
    </row>
    <row r="160" s="48" customFormat="true" ht="15" hidden="false" customHeight="true" outlineLevel="0" collapsed="false">
      <c r="A160" s="42" t="s">
        <v>229</v>
      </c>
      <c r="B160" s="42" t="n">
        <v>0</v>
      </c>
      <c r="C160" s="43"/>
      <c r="D160" s="44" t="n">
        <v>82</v>
      </c>
      <c r="E160" s="44"/>
      <c r="F160" s="44"/>
      <c r="G160" s="44"/>
      <c r="H160" s="44" t="n">
        <f aca="false">B160+D160+E160+F160+G160+C160</f>
        <v>82</v>
      </c>
      <c r="I160" s="45"/>
      <c r="J160" s="49" t="n">
        <v>90</v>
      </c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7" t="n">
        <f aca="false">J160+K160+L160+M160+N160+O160+P160+Q160+R160+S160+T160+U160</f>
        <v>90</v>
      </c>
      <c r="W160" s="47" t="n">
        <f aca="false">H160-V160</f>
        <v>-8</v>
      </c>
      <c r="X160" s="48" t="n">
        <v>15.96</v>
      </c>
      <c r="Y160" s="48" t="n">
        <f aca="false">B160*$X160</f>
        <v>0</v>
      </c>
      <c r="Z160" s="48" t="n">
        <f aca="false">C160*$X160</f>
        <v>0</v>
      </c>
      <c r="AA160" s="48" t="n">
        <f aca="false">D160*$X160</f>
        <v>1308.72</v>
      </c>
      <c r="AB160" s="48" t="n">
        <f aca="false">E160*$X160</f>
        <v>0</v>
      </c>
      <c r="AC160" s="48" t="n">
        <f aca="false">F160*$X160</f>
        <v>0</v>
      </c>
      <c r="AD160" s="48" t="n">
        <f aca="false">G160*$X160</f>
        <v>0</v>
      </c>
      <c r="AE160" s="48" t="n">
        <f aca="false">H160*$X160</f>
        <v>1308.72</v>
      </c>
      <c r="AF160" s="48" t="n">
        <f aca="false">I160*$X160</f>
        <v>0</v>
      </c>
      <c r="AG160" s="48" t="n">
        <f aca="false">J160*$X160</f>
        <v>1436.4</v>
      </c>
      <c r="AH160" s="48" t="n">
        <f aca="false">K160*$X160</f>
        <v>0</v>
      </c>
      <c r="AI160" s="48" t="n">
        <f aca="false">L160*$X160</f>
        <v>0</v>
      </c>
      <c r="AJ160" s="48" t="n">
        <f aca="false">M160*$X160</f>
        <v>0</v>
      </c>
      <c r="AK160" s="48" t="n">
        <f aca="false">N160*$X160</f>
        <v>0</v>
      </c>
      <c r="AL160" s="48" t="n">
        <f aca="false">O160*$X160</f>
        <v>0</v>
      </c>
      <c r="AM160" s="48" t="n">
        <f aca="false">P160*$X160</f>
        <v>0</v>
      </c>
      <c r="AN160" s="48" t="n">
        <f aca="false">Q160*$X160</f>
        <v>0</v>
      </c>
      <c r="AO160" s="48" t="n">
        <f aca="false">R160*$X160</f>
        <v>0</v>
      </c>
      <c r="AP160" s="48" t="n">
        <f aca="false">S160*$X160</f>
        <v>0</v>
      </c>
      <c r="AQ160" s="48" t="n">
        <f aca="false">T160*$X160</f>
        <v>0</v>
      </c>
      <c r="AR160" s="48" t="n">
        <f aca="false">U160*$X160</f>
        <v>0</v>
      </c>
      <c r="AS160" s="48" t="n">
        <f aca="false">V160*$X160</f>
        <v>1436.4</v>
      </c>
      <c r="AT160" s="48" t="n">
        <f aca="false">W160*$X160</f>
        <v>-127.68</v>
      </c>
      <c r="AU160" s="48" t="n">
        <f aca="false">X160*$X160</f>
        <v>254.7216</v>
      </c>
      <c r="AV160" s="48" t="n">
        <f aca="false">Y160*$X160</f>
        <v>0</v>
      </c>
      <c r="AW160" s="48" t="n">
        <f aca="false">Z160*$X160</f>
        <v>0</v>
      </c>
      <c r="AX160" s="48" t="n">
        <f aca="false">AA160*$X160</f>
        <v>20887.1712</v>
      </c>
      <c r="AY160" s="48" t="n">
        <f aca="false">AB160*$X160</f>
        <v>0</v>
      </c>
      <c r="AZ160" s="48" t="n">
        <f aca="false">AC160*$X160</f>
        <v>0</v>
      </c>
      <c r="BA160" s="1"/>
      <c r="BB160" s="1"/>
      <c r="BC160" s="1"/>
      <c r="BD160" s="1"/>
      <c r="BE160" s="1"/>
      <c r="BF160" s="1"/>
    </row>
    <row r="161" s="48" customFormat="true" ht="15" hidden="false" customHeight="true" outlineLevel="0" collapsed="false">
      <c r="A161" s="42" t="s">
        <v>230</v>
      </c>
      <c r="B161" s="42" t="n">
        <v>0</v>
      </c>
      <c r="C161" s="43"/>
      <c r="D161" s="44"/>
      <c r="E161" s="44"/>
      <c r="F161" s="44"/>
      <c r="G161" s="44"/>
      <c r="H161" s="44" t="n">
        <f aca="false">B161+D161+E161+F161+G161+C161</f>
        <v>0</v>
      </c>
      <c r="I161" s="45"/>
      <c r="J161" s="49"/>
      <c r="K161" s="49"/>
      <c r="L161" s="49"/>
      <c r="M161" s="49"/>
      <c r="N161" s="49"/>
      <c r="O161" s="49" t="n">
        <v>1</v>
      </c>
      <c r="P161" s="49"/>
      <c r="Q161" s="49"/>
      <c r="R161" s="49"/>
      <c r="S161" s="49"/>
      <c r="T161" s="49"/>
      <c r="U161" s="49"/>
      <c r="V161" s="47" t="n">
        <f aca="false">J161+K161+L161+M161+N161+O161+P161+Q161+R161+S161+T161+U161</f>
        <v>1</v>
      </c>
      <c r="W161" s="47" t="n">
        <f aca="false">H161-V161</f>
        <v>-1</v>
      </c>
      <c r="X161" s="48" t="n">
        <v>10.2</v>
      </c>
      <c r="Y161" s="48" t="n">
        <f aca="false">B161*$X161</f>
        <v>0</v>
      </c>
      <c r="Z161" s="48" t="n">
        <f aca="false">C161*$X161</f>
        <v>0</v>
      </c>
      <c r="AA161" s="48" t="n">
        <f aca="false">D161*$X161</f>
        <v>0</v>
      </c>
      <c r="AB161" s="48" t="n">
        <f aca="false">E161*$X161</f>
        <v>0</v>
      </c>
      <c r="AC161" s="48" t="n">
        <f aca="false">F161*$X161</f>
        <v>0</v>
      </c>
      <c r="AD161" s="48" t="n">
        <f aca="false">G161*$X161</f>
        <v>0</v>
      </c>
      <c r="AE161" s="48" t="n">
        <f aca="false">H161*$X161</f>
        <v>0</v>
      </c>
      <c r="AF161" s="48" t="n">
        <f aca="false">I161*$X161</f>
        <v>0</v>
      </c>
      <c r="AG161" s="48" t="n">
        <f aca="false">J161*$X161</f>
        <v>0</v>
      </c>
      <c r="AH161" s="48" t="n">
        <f aca="false">K161*$X161</f>
        <v>0</v>
      </c>
      <c r="AI161" s="48" t="n">
        <f aca="false">L161*$X161</f>
        <v>0</v>
      </c>
      <c r="AJ161" s="48" t="n">
        <f aca="false">M161*$X161</f>
        <v>0</v>
      </c>
      <c r="AK161" s="48" t="n">
        <f aca="false">N161*$X161</f>
        <v>0</v>
      </c>
      <c r="AL161" s="48" t="n">
        <f aca="false">O161*$X161</f>
        <v>10.2</v>
      </c>
      <c r="AM161" s="48" t="n">
        <f aca="false">P161*$X161</f>
        <v>0</v>
      </c>
      <c r="AN161" s="48" t="n">
        <f aca="false">Q161*$X161</f>
        <v>0</v>
      </c>
      <c r="AO161" s="48" t="n">
        <f aca="false">R161*$X161</f>
        <v>0</v>
      </c>
      <c r="AP161" s="48" t="n">
        <f aca="false">S161*$X161</f>
        <v>0</v>
      </c>
      <c r="AQ161" s="48" t="n">
        <f aca="false">T161*$X161</f>
        <v>0</v>
      </c>
      <c r="AR161" s="48" t="n">
        <f aca="false">U161*$X161</f>
        <v>0</v>
      </c>
      <c r="AS161" s="48" t="n">
        <f aca="false">V161*$X161</f>
        <v>10.2</v>
      </c>
      <c r="AT161" s="48" t="n">
        <f aca="false">W161*$X161</f>
        <v>-10.2</v>
      </c>
      <c r="AU161" s="48" t="n">
        <f aca="false">X161*$X161</f>
        <v>104.04</v>
      </c>
      <c r="AV161" s="48" t="n">
        <f aca="false">Y161*$X161</f>
        <v>0</v>
      </c>
      <c r="AW161" s="48" t="n">
        <f aca="false">Z161*$X161</f>
        <v>0</v>
      </c>
      <c r="AX161" s="48" t="n">
        <f aca="false">AA161*$X161</f>
        <v>0</v>
      </c>
      <c r="AY161" s="48" t="n">
        <f aca="false">AB161*$X161</f>
        <v>0</v>
      </c>
      <c r="AZ161" s="48" t="n">
        <f aca="false">AC161*$X161</f>
        <v>0</v>
      </c>
      <c r="BA161" s="1"/>
      <c r="BB161" s="1"/>
      <c r="BC161" s="1"/>
      <c r="BD161" s="1"/>
      <c r="BE161" s="1"/>
      <c r="BF161" s="1"/>
    </row>
    <row r="162" s="48" customFormat="true" ht="15" hidden="false" customHeight="true" outlineLevel="0" collapsed="false">
      <c r="A162" s="42" t="s">
        <v>231</v>
      </c>
      <c r="B162" s="42" t="n">
        <v>0</v>
      </c>
      <c r="C162" s="43"/>
      <c r="D162" s="44"/>
      <c r="E162" s="44"/>
      <c r="F162" s="44"/>
      <c r="G162" s="44"/>
      <c r="H162" s="44" t="n">
        <f aca="false">B162+D162+E162+F162+G162+C162</f>
        <v>0</v>
      </c>
      <c r="I162" s="45"/>
      <c r="J162" s="49"/>
      <c r="K162" s="49"/>
      <c r="L162" s="49"/>
      <c r="M162" s="49"/>
      <c r="N162" s="49"/>
      <c r="O162" s="49" t="n">
        <v>12</v>
      </c>
      <c r="P162" s="49"/>
      <c r="Q162" s="49"/>
      <c r="R162" s="49"/>
      <c r="S162" s="49"/>
      <c r="T162" s="49"/>
      <c r="U162" s="49"/>
      <c r="V162" s="47" t="n">
        <f aca="false">J162+K162+L162+M162+N162+O162+P162+Q162+R162+S162+T162+U162</f>
        <v>12</v>
      </c>
      <c r="W162" s="47" t="n">
        <f aca="false">H162-V162</f>
        <v>-12</v>
      </c>
      <c r="X162" s="48" t="n">
        <v>15.3</v>
      </c>
      <c r="Y162" s="48" t="n">
        <f aca="false">B162*$X162</f>
        <v>0</v>
      </c>
      <c r="Z162" s="48" t="n">
        <f aca="false">C162*$X162</f>
        <v>0</v>
      </c>
      <c r="AA162" s="48" t="n">
        <f aca="false">D162*$X162</f>
        <v>0</v>
      </c>
      <c r="AB162" s="48" t="n">
        <f aca="false">E162*$X162</f>
        <v>0</v>
      </c>
      <c r="AC162" s="48" t="n">
        <f aca="false">F162*$X162</f>
        <v>0</v>
      </c>
      <c r="AD162" s="48" t="n">
        <f aca="false">G162*$X162</f>
        <v>0</v>
      </c>
      <c r="AE162" s="48" t="n">
        <f aca="false">H162*$X162</f>
        <v>0</v>
      </c>
      <c r="AF162" s="48" t="n">
        <f aca="false">I162*$X162</f>
        <v>0</v>
      </c>
      <c r="AG162" s="48" t="n">
        <f aca="false">J162*$X162</f>
        <v>0</v>
      </c>
      <c r="AH162" s="48" t="n">
        <f aca="false">K162*$X162</f>
        <v>0</v>
      </c>
      <c r="AI162" s="48" t="n">
        <f aca="false">L162*$X162</f>
        <v>0</v>
      </c>
      <c r="AJ162" s="48" t="n">
        <f aca="false">M162*$X162</f>
        <v>0</v>
      </c>
      <c r="AK162" s="48" t="n">
        <f aca="false">N162*$X162</f>
        <v>0</v>
      </c>
      <c r="AL162" s="48" t="n">
        <f aca="false">O162*$X162</f>
        <v>183.6</v>
      </c>
      <c r="AM162" s="48" t="n">
        <f aca="false">P162*$X162</f>
        <v>0</v>
      </c>
      <c r="AN162" s="48" t="n">
        <f aca="false">Q162*$X162</f>
        <v>0</v>
      </c>
      <c r="AO162" s="48" t="n">
        <f aca="false">R162*$X162</f>
        <v>0</v>
      </c>
      <c r="AP162" s="48" t="n">
        <f aca="false">S162*$X162</f>
        <v>0</v>
      </c>
      <c r="AQ162" s="48" t="n">
        <f aca="false">T162*$X162</f>
        <v>0</v>
      </c>
      <c r="AR162" s="48" t="n">
        <f aca="false">U162*$X162</f>
        <v>0</v>
      </c>
      <c r="AS162" s="48" t="n">
        <f aca="false">V162*$X162</f>
        <v>183.6</v>
      </c>
      <c r="AT162" s="48" t="n">
        <f aca="false">W162*$X162</f>
        <v>-183.6</v>
      </c>
      <c r="AU162" s="48" t="n">
        <f aca="false">X162*$X162</f>
        <v>234.09</v>
      </c>
      <c r="AV162" s="48" t="n">
        <f aca="false">Y162*$X162</f>
        <v>0</v>
      </c>
      <c r="AW162" s="48" t="n">
        <f aca="false">Z162*$X162</f>
        <v>0</v>
      </c>
      <c r="AX162" s="48" t="n">
        <f aca="false">AA162*$X162</f>
        <v>0</v>
      </c>
      <c r="AY162" s="48" t="n">
        <f aca="false">AB162*$X162</f>
        <v>0</v>
      </c>
      <c r="AZ162" s="48" t="n">
        <f aca="false">AC162*$X162</f>
        <v>0</v>
      </c>
      <c r="BA162" s="1"/>
      <c r="BB162" s="1"/>
      <c r="BC162" s="1"/>
      <c r="BD162" s="1"/>
      <c r="BE162" s="1"/>
      <c r="BF162" s="1"/>
    </row>
    <row r="163" s="48" customFormat="true" ht="15" hidden="false" customHeight="true" outlineLevel="0" collapsed="false">
      <c r="A163" s="42" t="s">
        <v>232</v>
      </c>
      <c r="B163" s="42" t="n">
        <v>0</v>
      </c>
      <c r="C163" s="43"/>
      <c r="D163" s="44"/>
      <c r="E163" s="44"/>
      <c r="F163" s="44"/>
      <c r="G163" s="44"/>
      <c r="H163" s="44" t="n">
        <f aca="false">B163+D163+E163+F163+G163+C163</f>
        <v>0</v>
      </c>
      <c r="I163" s="45"/>
      <c r="J163" s="49"/>
      <c r="K163" s="49"/>
      <c r="L163" s="49"/>
      <c r="M163" s="49"/>
      <c r="N163" s="49"/>
      <c r="O163" s="49" t="n">
        <v>10</v>
      </c>
      <c r="P163" s="49"/>
      <c r="Q163" s="49"/>
      <c r="R163" s="49"/>
      <c r="S163" s="49"/>
      <c r="T163" s="49"/>
      <c r="U163" s="49"/>
      <c r="V163" s="47" t="n">
        <f aca="false">J163+K163+L163+M163+N163+O163+P163+Q163+R163+S163+T163+U163</f>
        <v>10</v>
      </c>
      <c r="W163" s="47" t="n">
        <f aca="false">H163-V163</f>
        <v>-10</v>
      </c>
      <c r="X163" s="48" t="n">
        <v>20.4</v>
      </c>
      <c r="Y163" s="48" t="n">
        <f aca="false">B163*$X163</f>
        <v>0</v>
      </c>
      <c r="Z163" s="48" t="n">
        <f aca="false">C163*$X163</f>
        <v>0</v>
      </c>
      <c r="AA163" s="48" t="n">
        <f aca="false">D163*$X163</f>
        <v>0</v>
      </c>
      <c r="AB163" s="48" t="n">
        <f aca="false">E163*$X163</f>
        <v>0</v>
      </c>
      <c r="AC163" s="48" t="n">
        <f aca="false">F163*$X163</f>
        <v>0</v>
      </c>
      <c r="AD163" s="48" t="n">
        <f aca="false">G163*$X163</f>
        <v>0</v>
      </c>
      <c r="AE163" s="48" t="n">
        <f aca="false">H163*$X163</f>
        <v>0</v>
      </c>
      <c r="AF163" s="48" t="n">
        <f aca="false">I163*$X163</f>
        <v>0</v>
      </c>
      <c r="AG163" s="48" t="n">
        <f aca="false">J163*$X163</f>
        <v>0</v>
      </c>
      <c r="AH163" s="48" t="n">
        <f aca="false">K163*$X163</f>
        <v>0</v>
      </c>
      <c r="AI163" s="48" t="n">
        <f aca="false">L163*$X163</f>
        <v>0</v>
      </c>
      <c r="AJ163" s="48" t="n">
        <f aca="false">M163*$X163</f>
        <v>0</v>
      </c>
      <c r="AK163" s="48" t="n">
        <f aca="false">N163*$X163</f>
        <v>0</v>
      </c>
      <c r="AL163" s="48" t="n">
        <f aca="false">O163*$X163</f>
        <v>204</v>
      </c>
      <c r="AM163" s="48" t="n">
        <f aca="false">P163*$X163</f>
        <v>0</v>
      </c>
      <c r="AN163" s="48" t="n">
        <f aca="false">Q163*$X163</f>
        <v>0</v>
      </c>
      <c r="AO163" s="48" t="n">
        <f aca="false">R163*$X163</f>
        <v>0</v>
      </c>
      <c r="AP163" s="48" t="n">
        <f aca="false">S163*$X163</f>
        <v>0</v>
      </c>
      <c r="AQ163" s="48" t="n">
        <f aca="false">T163*$X163</f>
        <v>0</v>
      </c>
      <c r="AR163" s="48" t="n">
        <f aca="false">U163*$X163</f>
        <v>0</v>
      </c>
      <c r="AS163" s="48" t="n">
        <f aca="false">V163*$X163</f>
        <v>204</v>
      </c>
      <c r="AT163" s="48" t="n">
        <f aca="false">W163*$X163</f>
        <v>-204</v>
      </c>
      <c r="AU163" s="48" t="n">
        <f aca="false">X163*$X163</f>
        <v>416.16</v>
      </c>
      <c r="AV163" s="48" t="n">
        <f aca="false">Y163*$X163</f>
        <v>0</v>
      </c>
      <c r="AW163" s="48" t="n">
        <f aca="false">Z163*$X163</f>
        <v>0</v>
      </c>
      <c r="AX163" s="48" t="n">
        <f aca="false">AA163*$X163</f>
        <v>0</v>
      </c>
      <c r="AY163" s="48" t="n">
        <f aca="false">AB163*$X163</f>
        <v>0</v>
      </c>
      <c r="AZ163" s="48" t="n">
        <f aca="false">AC163*$X163</f>
        <v>0</v>
      </c>
      <c r="BA163" s="1"/>
      <c r="BB163" s="1"/>
      <c r="BC163" s="1"/>
      <c r="BD163" s="1"/>
      <c r="BE163" s="1"/>
      <c r="BF163" s="1"/>
    </row>
    <row r="164" s="48" customFormat="true" ht="15" hidden="false" customHeight="true" outlineLevel="0" collapsed="false">
      <c r="A164" s="42" t="s">
        <v>233</v>
      </c>
      <c r="B164" s="42" t="n">
        <v>0</v>
      </c>
      <c r="C164" s="43"/>
      <c r="D164" s="44"/>
      <c r="E164" s="44"/>
      <c r="F164" s="44"/>
      <c r="G164" s="44"/>
      <c r="H164" s="44" t="n">
        <f aca="false">B164+D164+E164+F164+G164+C164</f>
        <v>0</v>
      </c>
      <c r="I164" s="45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7" t="n">
        <f aca="false">J164+K164+L164+M164+N164+O164+P164+Q164+R164+S164+T164+U164</f>
        <v>0</v>
      </c>
      <c r="W164" s="47" t="n">
        <f aca="false">H164-V164</f>
        <v>0</v>
      </c>
      <c r="X164" s="48" t="n">
        <v>0</v>
      </c>
      <c r="Y164" s="48" t="n">
        <f aca="false">B164*$X164</f>
        <v>0</v>
      </c>
      <c r="Z164" s="48" t="n">
        <f aca="false">C164*$X164</f>
        <v>0</v>
      </c>
      <c r="AA164" s="48" t="n">
        <f aca="false">D164*$X164</f>
        <v>0</v>
      </c>
      <c r="AB164" s="48" t="n">
        <f aca="false">E164*$X164</f>
        <v>0</v>
      </c>
      <c r="AC164" s="48" t="n">
        <f aca="false">F164*$X164</f>
        <v>0</v>
      </c>
      <c r="AD164" s="48" t="n">
        <f aca="false">G164*$X164</f>
        <v>0</v>
      </c>
      <c r="AE164" s="48" t="n">
        <f aca="false">H164*$X164</f>
        <v>0</v>
      </c>
      <c r="AF164" s="48" t="n">
        <f aca="false">I164*$X164</f>
        <v>0</v>
      </c>
      <c r="AG164" s="48" t="n">
        <f aca="false">J164*$X164</f>
        <v>0</v>
      </c>
      <c r="AH164" s="48" t="n">
        <f aca="false">K164*$X164</f>
        <v>0</v>
      </c>
      <c r="AI164" s="48" t="n">
        <f aca="false">L164*$X164</f>
        <v>0</v>
      </c>
      <c r="AJ164" s="48" t="n">
        <f aca="false">M164*$X164</f>
        <v>0</v>
      </c>
      <c r="AK164" s="48" t="n">
        <f aca="false">N164*$X164</f>
        <v>0</v>
      </c>
      <c r="AL164" s="48" t="n">
        <f aca="false">O164*$X164</f>
        <v>0</v>
      </c>
      <c r="AM164" s="48" t="n">
        <f aca="false">P164*$X164</f>
        <v>0</v>
      </c>
      <c r="AN164" s="48" t="n">
        <f aca="false">Q164*$X164</f>
        <v>0</v>
      </c>
      <c r="AO164" s="48" t="n">
        <f aca="false">R164*$X164</f>
        <v>0</v>
      </c>
      <c r="AP164" s="48" t="n">
        <f aca="false">S164*$X164</f>
        <v>0</v>
      </c>
      <c r="AQ164" s="48" t="n">
        <f aca="false">T164*$X164</f>
        <v>0</v>
      </c>
      <c r="AR164" s="48" t="n">
        <f aca="false">U164*$X164</f>
        <v>0</v>
      </c>
      <c r="AS164" s="48" t="n">
        <f aca="false">V164*$X164</f>
        <v>0</v>
      </c>
      <c r="AT164" s="48" t="n">
        <f aca="false">W164*$X164</f>
        <v>0</v>
      </c>
      <c r="AU164" s="48" t="n">
        <f aca="false">X164*$X164</f>
        <v>0</v>
      </c>
      <c r="AV164" s="48" t="n">
        <f aca="false">Y164*$X164</f>
        <v>0</v>
      </c>
      <c r="AW164" s="48" t="n">
        <f aca="false">Z164*$X164</f>
        <v>0</v>
      </c>
      <c r="AX164" s="48" t="n">
        <f aca="false">AA164*$X164</f>
        <v>0</v>
      </c>
      <c r="AY164" s="48" t="n">
        <f aca="false">AB164*$X164</f>
        <v>0</v>
      </c>
      <c r="AZ164" s="48" t="n">
        <f aca="false">AC164*$X164</f>
        <v>0</v>
      </c>
      <c r="BA164" s="1"/>
      <c r="BB164" s="1"/>
      <c r="BC164" s="1"/>
      <c r="BD164" s="1"/>
      <c r="BE164" s="1"/>
      <c r="BF164" s="1"/>
    </row>
    <row r="165" s="48" customFormat="true" ht="15" hidden="false" customHeight="true" outlineLevel="0" collapsed="false">
      <c r="A165" s="42" t="s">
        <v>234</v>
      </c>
      <c r="B165" s="42" t="n">
        <v>0</v>
      </c>
      <c r="C165" s="43"/>
      <c r="D165" s="44"/>
      <c r="E165" s="44"/>
      <c r="F165" s="44"/>
      <c r="G165" s="44"/>
      <c r="H165" s="44" t="n">
        <f aca="false">B165+D165+E165+F165+G165+C165</f>
        <v>0</v>
      </c>
      <c r="I165" s="45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7" t="n">
        <f aca="false">J165+K165+L165+M165+N165+O165+P165+Q165+R165+S165+T165+U165</f>
        <v>0</v>
      </c>
      <c r="W165" s="47" t="n">
        <f aca="false">H165-V165</f>
        <v>0</v>
      </c>
      <c r="X165" s="48" t="n">
        <v>22.95</v>
      </c>
      <c r="Y165" s="48" t="n">
        <f aca="false">B165*$X165</f>
        <v>0</v>
      </c>
      <c r="Z165" s="48" t="n">
        <f aca="false">C165*$X165</f>
        <v>0</v>
      </c>
      <c r="AA165" s="48" t="n">
        <f aca="false">D165*$X165</f>
        <v>0</v>
      </c>
      <c r="AB165" s="48" t="n">
        <f aca="false">E165*$X165</f>
        <v>0</v>
      </c>
      <c r="AC165" s="48" t="n">
        <f aca="false">F165*$X165</f>
        <v>0</v>
      </c>
      <c r="AD165" s="48" t="n">
        <f aca="false">G165*$X165</f>
        <v>0</v>
      </c>
      <c r="AE165" s="48" t="n">
        <f aca="false">H165*$X165</f>
        <v>0</v>
      </c>
      <c r="AF165" s="48" t="n">
        <f aca="false">I165*$X165</f>
        <v>0</v>
      </c>
      <c r="AG165" s="48" t="n">
        <f aca="false">J165*$X165</f>
        <v>0</v>
      </c>
      <c r="AH165" s="48" t="n">
        <f aca="false">K165*$X165</f>
        <v>0</v>
      </c>
      <c r="AI165" s="48" t="n">
        <f aca="false">L165*$X165</f>
        <v>0</v>
      </c>
      <c r="AJ165" s="48" t="n">
        <f aca="false">M165*$X165</f>
        <v>0</v>
      </c>
      <c r="AK165" s="48" t="n">
        <f aca="false">N165*$X165</f>
        <v>0</v>
      </c>
      <c r="AL165" s="48" t="n">
        <f aca="false">O165*$X165</f>
        <v>0</v>
      </c>
      <c r="AM165" s="48" t="n">
        <f aca="false">P165*$X165</f>
        <v>0</v>
      </c>
      <c r="AN165" s="48" t="n">
        <f aca="false">Q165*$X165</f>
        <v>0</v>
      </c>
      <c r="AO165" s="48" t="n">
        <f aca="false">R165*$X165</f>
        <v>0</v>
      </c>
      <c r="AP165" s="48" t="n">
        <f aca="false">S165*$X165</f>
        <v>0</v>
      </c>
      <c r="AQ165" s="48" t="n">
        <f aca="false">T165*$X165</f>
        <v>0</v>
      </c>
      <c r="AR165" s="48" t="n">
        <f aca="false">U165*$X165</f>
        <v>0</v>
      </c>
      <c r="AS165" s="48" t="n">
        <f aca="false">V165*$X165</f>
        <v>0</v>
      </c>
      <c r="AT165" s="48" t="n">
        <f aca="false">W165*$X165</f>
        <v>0</v>
      </c>
      <c r="AU165" s="48" t="n">
        <f aca="false">X165*$X165</f>
        <v>526.7025</v>
      </c>
      <c r="AV165" s="48" t="n">
        <f aca="false">Y165*$X165</f>
        <v>0</v>
      </c>
      <c r="AW165" s="48" t="n">
        <f aca="false">Z165*$X165</f>
        <v>0</v>
      </c>
      <c r="AX165" s="48" t="n">
        <f aca="false">AA165*$X165</f>
        <v>0</v>
      </c>
      <c r="AY165" s="48" t="n">
        <f aca="false">AB165*$X165</f>
        <v>0</v>
      </c>
      <c r="AZ165" s="48" t="n">
        <f aca="false">AC165*$X165</f>
        <v>0</v>
      </c>
      <c r="BA165" s="1"/>
      <c r="BB165" s="1"/>
      <c r="BC165" s="1"/>
      <c r="BD165" s="1"/>
      <c r="BE165" s="1"/>
      <c r="BF165" s="1"/>
    </row>
    <row r="166" s="48" customFormat="true" ht="15" hidden="false" customHeight="true" outlineLevel="0" collapsed="false">
      <c r="A166" s="42" t="s">
        <v>235</v>
      </c>
      <c r="B166" s="42" t="n">
        <v>0</v>
      </c>
      <c r="C166" s="43"/>
      <c r="D166" s="44"/>
      <c r="E166" s="44"/>
      <c r="F166" s="44"/>
      <c r="G166" s="44"/>
      <c r="H166" s="44" t="n">
        <f aca="false">B166+D166+E166+F166+G166+C166</f>
        <v>0</v>
      </c>
      <c r="I166" s="45"/>
      <c r="J166" s="49"/>
      <c r="K166" s="49"/>
      <c r="L166" s="49"/>
      <c r="M166" s="49"/>
      <c r="N166" s="49"/>
      <c r="O166" s="49" t="n">
        <v>1</v>
      </c>
      <c r="P166" s="49"/>
      <c r="Q166" s="49"/>
      <c r="R166" s="49"/>
      <c r="S166" s="49"/>
      <c r="T166" s="49"/>
      <c r="U166" s="49"/>
      <c r="V166" s="47" t="n">
        <f aca="false">J166+K166+L166+M166+N166+O166+P166+Q166+R166+S166+T166+U166</f>
        <v>1</v>
      </c>
      <c r="W166" s="47" t="n">
        <f aca="false">H166-V166</f>
        <v>-1</v>
      </c>
      <c r="X166" s="48" t="n">
        <v>25.5</v>
      </c>
      <c r="Y166" s="48" t="n">
        <f aca="false">B166*$X166</f>
        <v>0</v>
      </c>
      <c r="Z166" s="48" t="n">
        <f aca="false">C166*$X166</f>
        <v>0</v>
      </c>
      <c r="AA166" s="48" t="n">
        <f aca="false">D166*$X166</f>
        <v>0</v>
      </c>
      <c r="AB166" s="48" t="n">
        <f aca="false">E166*$X166</f>
        <v>0</v>
      </c>
      <c r="AC166" s="48" t="n">
        <f aca="false">F166*$X166</f>
        <v>0</v>
      </c>
      <c r="AD166" s="48" t="n">
        <f aca="false">G166*$X166</f>
        <v>0</v>
      </c>
      <c r="AE166" s="48" t="n">
        <f aca="false">H166*$X166</f>
        <v>0</v>
      </c>
      <c r="AF166" s="48" t="n">
        <f aca="false">I166*$X166</f>
        <v>0</v>
      </c>
      <c r="AG166" s="48" t="n">
        <f aca="false">J166*$X166</f>
        <v>0</v>
      </c>
      <c r="AH166" s="48" t="n">
        <f aca="false">K166*$X166</f>
        <v>0</v>
      </c>
      <c r="AI166" s="48" t="n">
        <f aca="false">L166*$X166</f>
        <v>0</v>
      </c>
      <c r="AJ166" s="48" t="n">
        <f aca="false">M166*$X166</f>
        <v>0</v>
      </c>
      <c r="AK166" s="48" t="n">
        <f aca="false">N166*$X166</f>
        <v>0</v>
      </c>
      <c r="AL166" s="48" t="n">
        <f aca="false">O166*$X166</f>
        <v>25.5</v>
      </c>
      <c r="AM166" s="48" t="n">
        <f aca="false">P166*$X166</f>
        <v>0</v>
      </c>
      <c r="AN166" s="48" t="n">
        <f aca="false">Q166*$X166</f>
        <v>0</v>
      </c>
      <c r="AO166" s="48" t="n">
        <f aca="false">R166*$X166</f>
        <v>0</v>
      </c>
      <c r="AP166" s="48" t="n">
        <f aca="false">S166*$X166</f>
        <v>0</v>
      </c>
      <c r="AQ166" s="48" t="n">
        <f aca="false">T166*$X166</f>
        <v>0</v>
      </c>
      <c r="AR166" s="48" t="n">
        <f aca="false">U166*$X166</f>
        <v>0</v>
      </c>
      <c r="AS166" s="48" t="n">
        <f aca="false">V166*$X166</f>
        <v>25.5</v>
      </c>
      <c r="AT166" s="48" t="n">
        <f aca="false">W166*$X166</f>
        <v>-25.5</v>
      </c>
      <c r="AU166" s="48" t="n">
        <f aca="false">X166*$X166</f>
        <v>650.25</v>
      </c>
      <c r="AV166" s="48" t="n">
        <f aca="false">Y166*$X166</f>
        <v>0</v>
      </c>
      <c r="AW166" s="48" t="n">
        <f aca="false">Z166*$X166</f>
        <v>0</v>
      </c>
      <c r="AX166" s="48" t="n">
        <f aca="false">AA166*$X166</f>
        <v>0</v>
      </c>
      <c r="AY166" s="48" t="n">
        <f aca="false">AB166*$X166</f>
        <v>0</v>
      </c>
      <c r="AZ166" s="48" t="n">
        <f aca="false">AC166*$X166</f>
        <v>0</v>
      </c>
      <c r="BA166" s="1"/>
      <c r="BB166" s="1"/>
      <c r="BC166" s="1"/>
      <c r="BD166" s="1"/>
      <c r="BE166" s="1"/>
      <c r="BF166" s="1"/>
    </row>
    <row r="167" s="48" customFormat="true" ht="15" hidden="false" customHeight="true" outlineLevel="0" collapsed="false">
      <c r="A167" s="42" t="s">
        <v>236</v>
      </c>
      <c r="B167" s="42" t="n">
        <v>0</v>
      </c>
      <c r="C167" s="43"/>
      <c r="D167" s="44"/>
      <c r="E167" s="44"/>
      <c r="F167" s="44"/>
      <c r="G167" s="44"/>
      <c r="H167" s="44" t="n">
        <f aca="false">B167+D167+E167+F167+G167+C167</f>
        <v>0</v>
      </c>
      <c r="I167" s="45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7" t="n">
        <f aca="false">J167+K167+L167+M167+N167+O167+P167+Q167+R167+S167+T167+U167</f>
        <v>0</v>
      </c>
      <c r="W167" s="47" t="n">
        <f aca="false">H167-V167</f>
        <v>0</v>
      </c>
      <c r="X167" s="48" t="n">
        <v>30.6</v>
      </c>
      <c r="Y167" s="48" t="n">
        <f aca="false">B167*$X167</f>
        <v>0</v>
      </c>
      <c r="Z167" s="48" t="n">
        <f aca="false">C167*$X167</f>
        <v>0</v>
      </c>
      <c r="AA167" s="48" t="n">
        <f aca="false">D167*$X167</f>
        <v>0</v>
      </c>
      <c r="AB167" s="48" t="n">
        <f aca="false">E167*$X167</f>
        <v>0</v>
      </c>
      <c r="AC167" s="48" t="n">
        <f aca="false">F167*$X167</f>
        <v>0</v>
      </c>
      <c r="AD167" s="48" t="n">
        <f aca="false">G167*$X167</f>
        <v>0</v>
      </c>
      <c r="AE167" s="48" t="n">
        <f aca="false">H167*$X167</f>
        <v>0</v>
      </c>
      <c r="AF167" s="48" t="n">
        <f aca="false">I167*$X167</f>
        <v>0</v>
      </c>
      <c r="AG167" s="48" t="n">
        <f aca="false">J167*$X167</f>
        <v>0</v>
      </c>
      <c r="AH167" s="48" t="n">
        <f aca="false">K167*$X167</f>
        <v>0</v>
      </c>
      <c r="AI167" s="48" t="n">
        <f aca="false">L167*$X167</f>
        <v>0</v>
      </c>
      <c r="AJ167" s="48" t="n">
        <f aca="false">M167*$X167</f>
        <v>0</v>
      </c>
      <c r="AK167" s="48" t="n">
        <f aca="false">N167*$X167</f>
        <v>0</v>
      </c>
      <c r="AL167" s="48" t="n">
        <f aca="false">O167*$X167</f>
        <v>0</v>
      </c>
      <c r="AM167" s="48" t="n">
        <f aca="false">P167*$X167</f>
        <v>0</v>
      </c>
      <c r="AN167" s="48" t="n">
        <f aca="false">Q167*$X167</f>
        <v>0</v>
      </c>
      <c r="AO167" s="48" t="n">
        <f aca="false">R167*$X167</f>
        <v>0</v>
      </c>
      <c r="AP167" s="48" t="n">
        <f aca="false">S167*$X167</f>
        <v>0</v>
      </c>
      <c r="AQ167" s="48" t="n">
        <f aca="false">T167*$X167</f>
        <v>0</v>
      </c>
      <c r="AR167" s="48" t="n">
        <f aca="false">U167*$X167</f>
        <v>0</v>
      </c>
      <c r="AS167" s="48" t="n">
        <f aca="false">V167*$X167</f>
        <v>0</v>
      </c>
      <c r="AT167" s="48" t="n">
        <f aca="false">W167*$X167</f>
        <v>0</v>
      </c>
      <c r="AU167" s="48" t="n">
        <f aca="false">X167*$X167</f>
        <v>936.36</v>
      </c>
      <c r="AV167" s="48" t="n">
        <f aca="false">Y167*$X167</f>
        <v>0</v>
      </c>
      <c r="AW167" s="48" t="n">
        <f aca="false">Z167*$X167</f>
        <v>0</v>
      </c>
      <c r="AX167" s="48" t="n">
        <f aca="false">AA167*$X167</f>
        <v>0</v>
      </c>
      <c r="AY167" s="48" t="n">
        <f aca="false">AB167*$X167</f>
        <v>0</v>
      </c>
      <c r="AZ167" s="48" t="n">
        <f aca="false">AC167*$X167</f>
        <v>0</v>
      </c>
      <c r="BA167" s="1"/>
      <c r="BB167" s="1"/>
      <c r="BC167" s="1"/>
      <c r="BD167" s="1"/>
      <c r="BE167" s="1"/>
      <c r="BF167" s="1"/>
    </row>
    <row r="168" s="48" customFormat="true" ht="15" hidden="false" customHeight="true" outlineLevel="0" collapsed="false">
      <c r="A168" s="42" t="s">
        <v>237</v>
      </c>
      <c r="B168" s="42" t="n">
        <v>3</v>
      </c>
      <c r="C168" s="43"/>
      <c r="D168" s="44"/>
      <c r="E168" s="44" t="n">
        <v>70</v>
      </c>
      <c r="F168" s="44"/>
      <c r="G168" s="44"/>
      <c r="H168" s="44" t="n">
        <f aca="false">B168+D168+E168+F168+G168+C168</f>
        <v>73</v>
      </c>
      <c r="I168" s="45"/>
      <c r="J168" s="49"/>
      <c r="K168" s="49"/>
      <c r="L168" s="49"/>
      <c r="M168" s="49"/>
      <c r="N168" s="49"/>
      <c r="O168" s="49"/>
      <c r="P168" s="49"/>
      <c r="Q168" s="49"/>
      <c r="R168" s="49"/>
      <c r="S168" s="49" t="n">
        <v>3</v>
      </c>
      <c r="T168" s="49"/>
      <c r="U168" s="49"/>
      <c r="V168" s="47" t="n">
        <f aca="false">J168+K168+L168+M168+N168+O168+P168+Q168+R168+S168+T168+U168</f>
        <v>3</v>
      </c>
      <c r="W168" s="47" t="n">
        <f aca="false">H168-V168</f>
        <v>70</v>
      </c>
      <c r="X168" s="48" t="n">
        <v>5.95</v>
      </c>
      <c r="Y168" s="48" t="n">
        <f aca="false">B168*$X168</f>
        <v>17.85</v>
      </c>
      <c r="Z168" s="48" t="n">
        <f aca="false">C168*$X168</f>
        <v>0</v>
      </c>
      <c r="AA168" s="48" t="n">
        <f aca="false">D168*$X168</f>
        <v>0</v>
      </c>
      <c r="AB168" s="48" t="n">
        <f aca="false">E168*$X168</f>
        <v>416.5</v>
      </c>
      <c r="AC168" s="48" t="n">
        <f aca="false">F168*$X168</f>
        <v>0</v>
      </c>
      <c r="AD168" s="48" t="n">
        <f aca="false">G168*$X168</f>
        <v>0</v>
      </c>
      <c r="AE168" s="48" t="n">
        <f aca="false">H168*$X168</f>
        <v>434.35</v>
      </c>
      <c r="AF168" s="48" t="n">
        <f aca="false">I168*$X168</f>
        <v>0</v>
      </c>
      <c r="AG168" s="48" t="n">
        <f aca="false">J168*$X168</f>
        <v>0</v>
      </c>
      <c r="AH168" s="48" t="n">
        <f aca="false">K168*$X168</f>
        <v>0</v>
      </c>
      <c r="AI168" s="48" t="n">
        <f aca="false">L168*$X168</f>
        <v>0</v>
      </c>
      <c r="AJ168" s="48" t="n">
        <f aca="false">M168*$X168</f>
        <v>0</v>
      </c>
      <c r="AK168" s="48" t="n">
        <f aca="false">N168*$X168</f>
        <v>0</v>
      </c>
      <c r="AL168" s="48" t="n">
        <f aca="false">O168*$X168</f>
        <v>0</v>
      </c>
      <c r="AM168" s="48" t="n">
        <f aca="false">P168*$X168</f>
        <v>0</v>
      </c>
      <c r="AN168" s="48" t="n">
        <f aca="false">Q168*$X168</f>
        <v>0</v>
      </c>
      <c r="AO168" s="48" t="n">
        <f aca="false">R168*$X168</f>
        <v>0</v>
      </c>
      <c r="AP168" s="48" t="n">
        <f aca="false">S168*$X168</f>
        <v>17.85</v>
      </c>
      <c r="AQ168" s="48" t="n">
        <f aca="false">T168*$X168</f>
        <v>0</v>
      </c>
      <c r="AR168" s="48" t="n">
        <f aca="false">U168*$X168</f>
        <v>0</v>
      </c>
      <c r="AS168" s="48" t="n">
        <f aca="false">V168*$X168</f>
        <v>17.85</v>
      </c>
      <c r="AT168" s="48" t="n">
        <f aca="false">W168*$X168</f>
        <v>416.5</v>
      </c>
      <c r="AU168" s="48" t="n">
        <f aca="false">X168*$X168</f>
        <v>35.4025</v>
      </c>
      <c r="AV168" s="48" t="n">
        <f aca="false">Y168*$X168</f>
        <v>106.2075</v>
      </c>
      <c r="AW168" s="48" t="n">
        <f aca="false">Z168*$X168</f>
        <v>0</v>
      </c>
      <c r="AX168" s="48" t="n">
        <f aca="false">AA168*$X168</f>
        <v>0</v>
      </c>
      <c r="AY168" s="48" t="n">
        <f aca="false">AB168*$X168</f>
        <v>2478.175</v>
      </c>
      <c r="AZ168" s="48" t="n">
        <f aca="false">AC168*$X168</f>
        <v>0</v>
      </c>
      <c r="BA168" s="1"/>
      <c r="BB168" s="1"/>
      <c r="BC168" s="1"/>
      <c r="BD168" s="1"/>
      <c r="BE168" s="1"/>
      <c r="BF168" s="1"/>
    </row>
    <row r="169" s="48" customFormat="true" ht="15" hidden="false" customHeight="true" outlineLevel="0" collapsed="false">
      <c r="A169" s="42" t="s">
        <v>238</v>
      </c>
      <c r="B169" s="42" t="n">
        <v>18</v>
      </c>
      <c r="C169" s="43"/>
      <c r="D169" s="44"/>
      <c r="E169" s="44"/>
      <c r="F169" s="44"/>
      <c r="G169" s="44"/>
      <c r="H169" s="44" t="n">
        <f aca="false">B169+D169+E169+F169+G169+C169</f>
        <v>18</v>
      </c>
      <c r="I169" s="45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7" t="n">
        <f aca="false">J169+K169+L169+M169+N169+O169+P169+Q169+R169+S169+T169+U169</f>
        <v>0</v>
      </c>
      <c r="W169" s="47" t="n">
        <f aca="false">H169-V169</f>
        <v>18</v>
      </c>
      <c r="X169" s="48" t="n">
        <v>21</v>
      </c>
      <c r="Y169" s="48" t="n">
        <f aca="false">B169*$X169</f>
        <v>378</v>
      </c>
      <c r="Z169" s="48" t="n">
        <f aca="false">C169*$X169</f>
        <v>0</v>
      </c>
      <c r="AA169" s="48" t="n">
        <f aca="false">D169*$X169</f>
        <v>0</v>
      </c>
      <c r="AB169" s="48" t="n">
        <f aca="false">E169*$X169</f>
        <v>0</v>
      </c>
      <c r="AC169" s="48" t="n">
        <f aca="false">F169*$X169</f>
        <v>0</v>
      </c>
      <c r="AD169" s="48" t="n">
        <f aca="false">G169*$X169</f>
        <v>0</v>
      </c>
      <c r="AE169" s="48" t="n">
        <f aca="false">H169*$X169</f>
        <v>378</v>
      </c>
      <c r="AF169" s="48" t="n">
        <f aca="false">I169*$X169</f>
        <v>0</v>
      </c>
      <c r="AG169" s="48" t="n">
        <f aca="false">J169*$X169</f>
        <v>0</v>
      </c>
      <c r="AH169" s="48" t="n">
        <f aca="false">K169*$X169</f>
        <v>0</v>
      </c>
      <c r="AI169" s="48" t="n">
        <f aca="false">L169*$X169</f>
        <v>0</v>
      </c>
      <c r="AJ169" s="48" t="n">
        <f aca="false">M169*$X169</f>
        <v>0</v>
      </c>
      <c r="AK169" s="48" t="n">
        <f aca="false">N169*$X169</f>
        <v>0</v>
      </c>
      <c r="AL169" s="48" t="n">
        <f aca="false">O169*$X169</f>
        <v>0</v>
      </c>
      <c r="AM169" s="48" t="n">
        <f aca="false">P169*$X169</f>
        <v>0</v>
      </c>
      <c r="AN169" s="48" t="n">
        <f aca="false">Q169*$X169</f>
        <v>0</v>
      </c>
      <c r="AO169" s="48" t="n">
        <f aca="false">R169*$X169</f>
        <v>0</v>
      </c>
      <c r="AP169" s="48" t="n">
        <f aca="false">S169*$X169</f>
        <v>0</v>
      </c>
      <c r="AQ169" s="48" t="n">
        <f aca="false">T169*$X169</f>
        <v>0</v>
      </c>
      <c r="AR169" s="48" t="n">
        <f aca="false">U169*$X169</f>
        <v>0</v>
      </c>
      <c r="AS169" s="48" t="n">
        <f aca="false">V169*$X169</f>
        <v>0</v>
      </c>
      <c r="AT169" s="48" t="n">
        <f aca="false">W169*$X169</f>
        <v>378</v>
      </c>
      <c r="AU169" s="48" t="n">
        <f aca="false">X169*$X169</f>
        <v>441</v>
      </c>
      <c r="AV169" s="48" t="n">
        <f aca="false">Y169*$X169</f>
        <v>7938</v>
      </c>
      <c r="AW169" s="48" t="n">
        <f aca="false">Z169*$X169</f>
        <v>0</v>
      </c>
      <c r="AX169" s="48" t="n">
        <f aca="false">AA169*$X169</f>
        <v>0</v>
      </c>
      <c r="AY169" s="48" t="n">
        <f aca="false">AB169*$X169</f>
        <v>0</v>
      </c>
      <c r="AZ169" s="48" t="n">
        <f aca="false">AC169*$X169</f>
        <v>0</v>
      </c>
      <c r="BA169" s="1"/>
      <c r="BB169" s="1"/>
      <c r="BC169" s="1"/>
      <c r="BD169" s="1"/>
      <c r="BE169" s="1"/>
      <c r="BF169" s="1"/>
    </row>
    <row r="170" s="48" customFormat="true" ht="15" hidden="false" customHeight="true" outlineLevel="0" collapsed="false">
      <c r="A170" s="42" t="s">
        <v>239</v>
      </c>
      <c r="B170" s="42" t="n">
        <v>33</v>
      </c>
      <c r="C170" s="43"/>
      <c r="D170" s="44"/>
      <c r="E170" s="44"/>
      <c r="F170" s="44"/>
      <c r="G170" s="44"/>
      <c r="H170" s="44" t="n">
        <f aca="false">B170+D170+E170+F170+G170+C170</f>
        <v>33</v>
      </c>
      <c r="I170" s="45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7" t="n">
        <f aca="false">J170+K170+L170+M170+N170+O170+P170+Q170+R170+S170+T170+U170</f>
        <v>0</v>
      </c>
      <c r="W170" s="47" t="n">
        <f aca="false">H170-V170</f>
        <v>33</v>
      </c>
      <c r="X170" s="48" t="n">
        <v>17</v>
      </c>
      <c r="Y170" s="48" t="n">
        <f aca="false">B170*$X170</f>
        <v>561</v>
      </c>
      <c r="Z170" s="48" t="n">
        <f aca="false">C170*$X170</f>
        <v>0</v>
      </c>
      <c r="AA170" s="48" t="n">
        <f aca="false">D170*$X170</f>
        <v>0</v>
      </c>
      <c r="AB170" s="48" t="n">
        <f aca="false">E170*$X170</f>
        <v>0</v>
      </c>
      <c r="AC170" s="48" t="n">
        <f aca="false">F170*$X170</f>
        <v>0</v>
      </c>
      <c r="AD170" s="48" t="n">
        <f aca="false">G170*$X170</f>
        <v>0</v>
      </c>
      <c r="AE170" s="48" t="n">
        <f aca="false">H170*$X170</f>
        <v>561</v>
      </c>
      <c r="AF170" s="48" t="n">
        <f aca="false">I170*$X170</f>
        <v>0</v>
      </c>
      <c r="AG170" s="48" t="n">
        <f aca="false">J170*$X170</f>
        <v>0</v>
      </c>
      <c r="AH170" s="48" t="n">
        <f aca="false">K170*$X170</f>
        <v>0</v>
      </c>
      <c r="AI170" s="48" t="n">
        <f aca="false">L170*$X170</f>
        <v>0</v>
      </c>
      <c r="AJ170" s="48" t="n">
        <f aca="false">M170*$X170</f>
        <v>0</v>
      </c>
      <c r="AK170" s="48" t="n">
        <f aca="false">N170*$X170</f>
        <v>0</v>
      </c>
      <c r="AL170" s="48" t="n">
        <f aca="false">O170*$X170</f>
        <v>0</v>
      </c>
      <c r="AM170" s="48" t="n">
        <f aca="false">P170*$X170</f>
        <v>0</v>
      </c>
      <c r="AN170" s="48" t="n">
        <f aca="false">Q170*$X170</f>
        <v>0</v>
      </c>
      <c r="AO170" s="48" t="n">
        <f aca="false">R170*$X170</f>
        <v>0</v>
      </c>
      <c r="AP170" s="48" t="n">
        <f aca="false">S170*$X170</f>
        <v>0</v>
      </c>
      <c r="AQ170" s="48" t="n">
        <f aca="false">T170*$X170</f>
        <v>0</v>
      </c>
      <c r="AR170" s="48" t="n">
        <f aca="false">U170*$X170</f>
        <v>0</v>
      </c>
      <c r="AS170" s="48" t="n">
        <f aca="false">V170*$X170</f>
        <v>0</v>
      </c>
      <c r="AT170" s="48" t="n">
        <f aca="false">W170*$X170</f>
        <v>561</v>
      </c>
      <c r="AU170" s="48" t="n">
        <f aca="false">X170*$X170</f>
        <v>289</v>
      </c>
      <c r="AV170" s="48" t="n">
        <f aca="false">Y170*$X170</f>
        <v>9537</v>
      </c>
      <c r="AW170" s="48" t="n">
        <f aca="false">Z170*$X170</f>
        <v>0</v>
      </c>
      <c r="AX170" s="48" t="n">
        <f aca="false">AA170*$X170</f>
        <v>0</v>
      </c>
      <c r="AY170" s="48" t="n">
        <f aca="false">AB170*$X170</f>
        <v>0</v>
      </c>
      <c r="AZ170" s="48" t="n">
        <f aca="false">AC170*$X170</f>
        <v>0</v>
      </c>
      <c r="BA170" s="1"/>
      <c r="BB170" s="1"/>
      <c r="BC170" s="1"/>
      <c r="BD170" s="1"/>
      <c r="BE170" s="1"/>
      <c r="BF170" s="1"/>
    </row>
    <row r="171" s="48" customFormat="true" ht="15" hidden="false" customHeight="true" outlineLevel="0" collapsed="false">
      <c r="A171" s="42" t="s">
        <v>240</v>
      </c>
      <c r="B171" s="42" t="n">
        <v>0</v>
      </c>
      <c r="C171" s="43"/>
      <c r="D171" s="44"/>
      <c r="E171" s="44"/>
      <c r="F171" s="44"/>
      <c r="G171" s="44"/>
      <c r="H171" s="44" t="n">
        <f aca="false">B171+D171+E171+F171+G171+C171</f>
        <v>0</v>
      </c>
      <c r="I171" s="45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7" t="n">
        <f aca="false">J171+K171+L171+M171+N171+O171+P171+Q171+R171+S171+T171+U171</f>
        <v>0</v>
      </c>
      <c r="W171" s="47" t="n">
        <f aca="false">H171-V171</f>
        <v>0</v>
      </c>
      <c r="X171" s="48" t="n">
        <v>9.02</v>
      </c>
      <c r="Y171" s="48" t="n">
        <f aca="false">B171*$X171</f>
        <v>0</v>
      </c>
      <c r="Z171" s="48" t="n">
        <f aca="false">C171*$X171</f>
        <v>0</v>
      </c>
      <c r="AA171" s="48" t="n">
        <f aca="false">D171*$X171</f>
        <v>0</v>
      </c>
      <c r="AB171" s="48" t="n">
        <f aca="false">E171*$X171</f>
        <v>0</v>
      </c>
      <c r="AC171" s="48" t="n">
        <f aca="false">F171*$X171</f>
        <v>0</v>
      </c>
      <c r="AD171" s="48" t="n">
        <f aca="false">G171*$X171</f>
        <v>0</v>
      </c>
      <c r="AE171" s="48" t="n">
        <f aca="false">H171*$X171</f>
        <v>0</v>
      </c>
      <c r="AF171" s="48" t="n">
        <f aca="false">I171*$X171</f>
        <v>0</v>
      </c>
      <c r="AG171" s="48" t="n">
        <f aca="false">J171*$X171</f>
        <v>0</v>
      </c>
      <c r="AH171" s="48" t="n">
        <f aca="false">K171*$X171</f>
        <v>0</v>
      </c>
      <c r="AI171" s="48" t="n">
        <f aca="false">L171*$X171</f>
        <v>0</v>
      </c>
      <c r="AJ171" s="48" t="n">
        <f aca="false">M171*$X171</f>
        <v>0</v>
      </c>
      <c r="AK171" s="48" t="n">
        <f aca="false">N171*$X171</f>
        <v>0</v>
      </c>
      <c r="AL171" s="48" t="n">
        <f aca="false">O171*$X171</f>
        <v>0</v>
      </c>
      <c r="AM171" s="48" t="n">
        <f aca="false">P171*$X171</f>
        <v>0</v>
      </c>
      <c r="AN171" s="48" t="n">
        <f aca="false">Q171*$X171</f>
        <v>0</v>
      </c>
      <c r="AO171" s="48" t="n">
        <f aca="false">R171*$X171</f>
        <v>0</v>
      </c>
      <c r="AP171" s="48" t="n">
        <f aca="false">S171*$X171</f>
        <v>0</v>
      </c>
      <c r="AQ171" s="48" t="n">
        <f aca="false">T171*$X171</f>
        <v>0</v>
      </c>
      <c r="AR171" s="48" t="n">
        <f aca="false">U171*$X171</f>
        <v>0</v>
      </c>
      <c r="AS171" s="48" t="n">
        <f aca="false">V171*$X171</f>
        <v>0</v>
      </c>
      <c r="AT171" s="48" t="n">
        <f aca="false">W171*$X171</f>
        <v>0</v>
      </c>
      <c r="AU171" s="48" t="n">
        <f aca="false">X171*$X171</f>
        <v>81.3604</v>
      </c>
      <c r="AV171" s="48" t="n">
        <f aca="false">Y171*$X171</f>
        <v>0</v>
      </c>
      <c r="AW171" s="48" t="n">
        <f aca="false">Z171*$X171</f>
        <v>0</v>
      </c>
      <c r="AX171" s="48" t="n">
        <f aca="false">AA171*$X171</f>
        <v>0</v>
      </c>
      <c r="AY171" s="48" t="n">
        <f aca="false">AB171*$X171</f>
        <v>0</v>
      </c>
      <c r="AZ171" s="48" t="n">
        <f aca="false">AC171*$X171</f>
        <v>0</v>
      </c>
      <c r="BA171" s="1"/>
      <c r="BB171" s="1"/>
      <c r="BC171" s="1"/>
      <c r="BD171" s="1"/>
      <c r="BE171" s="1"/>
      <c r="BF171" s="1"/>
    </row>
    <row r="172" s="48" customFormat="true" ht="15" hidden="false" customHeight="true" outlineLevel="0" collapsed="false">
      <c r="A172" s="42" t="s">
        <v>241</v>
      </c>
      <c r="B172" s="42" t="n">
        <v>133</v>
      </c>
      <c r="C172" s="43"/>
      <c r="D172" s="44"/>
      <c r="E172" s="44" t="n">
        <v>211</v>
      </c>
      <c r="F172" s="44"/>
      <c r="G172" s="44"/>
      <c r="H172" s="44" t="n">
        <f aca="false">B172+D172+E172+F172+G172+C172</f>
        <v>344</v>
      </c>
      <c r="I172" s="45"/>
      <c r="J172" s="49"/>
      <c r="K172" s="49" t="n">
        <v>46</v>
      </c>
      <c r="L172" s="49"/>
      <c r="M172" s="49"/>
      <c r="N172" s="49" t="n">
        <v>335</v>
      </c>
      <c r="O172" s="49"/>
      <c r="P172" s="49"/>
      <c r="Q172" s="49"/>
      <c r="R172" s="49" t="n">
        <v>6</v>
      </c>
      <c r="S172" s="49"/>
      <c r="T172" s="49"/>
      <c r="U172" s="49" t="n">
        <v>53</v>
      </c>
      <c r="V172" s="47" t="n">
        <f aca="false">J172+K172+L172+M172+N172+O172+P172+Q172+R172+S172+T172+U172</f>
        <v>440</v>
      </c>
      <c r="W172" s="47" t="n">
        <f aca="false">H172-V172</f>
        <v>-96</v>
      </c>
      <c r="X172" s="48" t="n">
        <v>11.28</v>
      </c>
      <c r="Y172" s="48" t="n">
        <f aca="false">B172*$X172</f>
        <v>1500.24</v>
      </c>
      <c r="Z172" s="48" t="n">
        <f aca="false">C172*$X172</f>
        <v>0</v>
      </c>
      <c r="AA172" s="48" t="n">
        <f aca="false">D172*$X172</f>
        <v>0</v>
      </c>
      <c r="AB172" s="48" t="n">
        <f aca="false">E172*$X172</f>
        <v>2380.08</v>
      </c>
      <c r="AC172" s="48" t="n">
        <f aca="false">F172*$X172</f>
        <v>0</v>
      </c>
      <c r="AD172" s="48" t="n">
        <f aca="false">G172*$X172</f>
        <v>0</v>
      </c>
      <c r="AE172" s="48" t="n">
        <f aca="false">H172*$X172</f>
        <v>3880.32</v>
      </c>
      <c r="AF172" s="48" t="n">
        <f aca="false">I172*$X172</f>
        <v>0</v>
      </c>
      <c r="AG172" s="48" t="n">
        <f aca="false">J172*$X172</f>
        <v>0</v>
      </c>
      <c r="AH172" s="48" t="n">
        <f aca="false">K172*$X172</f>
        <v>518.88</v>
      </c>
      <c r="AI172" s="48" t="n">
        <f aca="false">L172*$X172</f>
        <v>0</v>
      </c>
      <c r="AJ172" s="48" t="n">
        <f aca="false">M172*$X172</f>
        <v>0</v>
      </c>
      <c r="AK172" s="48" t="n">
        <f aca="false">N172*$X172</f>
        <v>3778.8</v>
      </c>
      <c r="AL172" s="48" t="n">
        <f aca="false">O172*$X172</f>
        <v>0</v>
      </c>
      <c r="AM172" s="48" t="n">
        <f aca="false">P172*$X172</f>
        <v>0</v>
      </c>
      <c r="AN172" s="48" t="n">
        <f aca="false">Q172*$X172</f>
        <v>0</v>
      </c>
      <c r="AO172" s="48" t="n">
        <f aca="false">R172*$X172</f>
        <v>67.68</v>
      </c>
      <c r="AP172" s="48" t="n">
        <f aca="false">S172*$X172</f>
        <v>0</v>
      </c>
      <c r="AQ172" s="48" t="n">
        <f aca="false">T172*$X172</f>
        <v>0</v>
      </c>
      <c r="AR172" s="48" t="n">
        <f aca="false">U172*$X172</f>
        <v>597.84</v>
      </c>
      <c r="AS172" s="48" t="n">
        <f aca="false">V172*$X172</f>
        <v>4963.2</v>
      </c>
      <c r="AT172" s="48" t="n">
        <f aca="false">W172*$X172</f>
        <v>-1082.88</v>
      </c>
      <c r="AU172" s="48" t="n">
        <f aca="false">X172*$X172</f>
        <v>127.2384</v>
      </c>
      <c r="AV172" s="48" t="n">
        <f aca="false">Y172*$X172</f>
        <v>16922.7072</v>
      </c>
      <c r="AW172" s="48" t="n">
        <f aca="false">Z172*$X172</f>
        <v>0</v>
      </c>
      <c r="AX172" s="48" t="n">
        <f aca="false">AA172*$X172</f>
        <v>0</v>
      </c>
      <c r="AY172" s="48" t="n">
        <f aca="false">AB172*$X172</f>
        <v>26847.3024</v>
      </c>
      <c r="AZ172" s="48" t="n">
        <f aca="false">AC172*$X172</f>
        <v>0</v>
      </c>
      <c r="BA172" s="1"/>
      <c r="BB172" s="1"/>
      <c r="BC172" s="1"/>
      <c r="BD172" s="1"/>
      <c r="BE172" s="1"/>
      <c r="BF172" s="1"/>
    </row>
    <row r="173" s="48" customFormat="true" ht="15" hidden="false" customHeight="true" outlineLevel="0" collapsed="false">
      <c r="A173" s="42" t="s">
        <v>242</v>
      </c>
      <c r="B173" s="42" t="n">
        <v>29</v>
      </c>
      <c r="C173" s="43"/>
      <c r="D173" s="44"/>
      <c r="E173" s="44"/>
      <c r="F173" s="44"/>
      <c r="G173" s="44"/>
      <c r="H173" s="44" t="n">
        <f aca="false">B173+D173+E173+F173+G173+C173</f>
        <v>29</v>
      </c>
      <c r="I173" s="45"/>
      <c r="J173" s="49"/>
      <c r="K173" s="49"/>
      <c r="L173" s="49"/>
      <c r="M173" s="49"/>
      <c r="N173" s="49" t="n">
        <v>29</v>
      </c>
      <c r="O173" s="49"/>
      <c r="P173" s="49"/>
      <c r="Q173" s="49"/>
      <c r="R173" s="49"/>
      <c r="S173" s="49"/>
      <c r="T173" s="49"/>
      <c r="U173" s="49"/>
      <c r="V173" s="47" t="n">
        <f aca="false">J173+K173+L173+M173+N173+O173+P173+Q173+R173+S173+T173+U173</f>
        <v>29</v>
      </c>
      <c r="W173" s="47" t="n">
        <f aca="false">H173-V173</f>
        <v>0</v>
      </c>
      <c r="X173" s="48" t="n">
        <v>11.28</v>
      </c>
      <c r="Y173" s="48" t="n">
        <f aca="false">B173*$X173</f>
        <v>327.12</v>
      </c>
      <c r="Z173" s="48" t="n">
        <f aca="false">C173*$X173</f>
        <v>0</v>
      </c>
      <c r="AA173" s="48" t="n">
        <f aca="false">D173*$X173</f>
        <v>0</v>
      </c>
      <c r="AB173" s="48" t="n">
        <f aca="false">E173*$X173</f>
        <v>0</v>
      </c>
      <c r="AC173" s="48" t="n">
        <f aca="false">F173*$X173</f>
        <v>0</v>
      </c>
      <c r="AD173" s="48" t="n">
        <f aca="false">G173*$X173</f>
        <v>0</v>
      </c>
      <c r="AE173" s="48" t="n">
        <f aca="false">H173*$X173</f>
        <v>327.12</v>
      </c>
      <c r="AF173" s="48" t="n">
        <f aca="false">I173*$X173</f>
        <v>0</v>
      </c>
      <c r="AG173" s="48" t="n">
        <f aca="false">J173*$X173</f>
        <v>0</v>
      </c>
      <c r="AH173" s="48" t="n">
        <f aca="false">K173*$X173</f>
        <v>0</v>
      </c>
      <c r="AI173" s="48" t="n">
        <f aca="false">L173*$X173</f>
        <v>0</v>
      </c>
      <c r="AJ173" s="48" t="n">
        <f aca="false">M173*$X173</f>
        <v>0</v>
      </c>
      <c r="AK173" s="48" t="n">
        <f aca="false">N173*$X173</f>
        <v>327.12</v>
      </c>
      <c r="AL173" s="48" t="n">
        <f aca="false">O173*$X173</f>
        <v>0</v>
      </c>
      <c r="AM173" s="48" t="n">
        <f aca="false">P173*$X173</f>
        <v>0</v>
      </c>
      <c r="AN173" s="48" t="n">
        <f aca="false">Q173*$X173</f>
        <v>0</v>
      </c>
      <c r="AO173" s="48" t="n">
        <f aca="false">R173*$X173</f>
        <v>0</v>
      </c>
      <c r="AP173" s="48" t="n">
        <f aca="false">S173*$X173</f>
        <v>0</v>
      </c>
      <c r="AQ173" s="48" t="n">
        <f aca="false">T173*$X173</f>
        <v>0</v>
      </c>
      <c r="AR173" s="48" t="n">
        <f aca="false">U173*$X173</f>
        <v>0</v>
      </c>
      <c r="AS173" s="48" t="n">
        <f aca="false">V173*$X173</f>
        <v>327.12</v>
      </c>
      <c r="AT173" s="48" t="n">
        <f aca="false">W173*$X173</f>
        <v>0</v>
      </c>
      <c r="AU173" s="48" t="n">
        <f aca="false">X173*$X173</f>
        <v>127.2384</v>
      </c>
      <c r="AV173" s="48" t="n">
        <f aca="false">Y173*$X173</f>
        <v>3689.9136</v>
      </c>
      <c r="AW173" s="48" t="n">
        <f aca="false">Z173*$X173</f>
        <v>0</v>
      </c>
      <c r="AX173" s="48" t="n">
        <f aca="false">AA173*$X173</f>
        <v>0</v>
      </c>
      <c r="AY173" s="48" t="n">
        <f aca="false">AB173*$X173</f>
        <v>0</v>
      </c>
      <c r="AZ173" s="48" t="n">
        <f aca="false">AC173*$X173</f>
        <v>0</v>
      </c>
      <c r="BA173" s="1"/>
      <c r="BB173" s="1"/>
      <c r="BC173" s="1"/>
      <c r="BD173" s="1"/>
      <c r="BE173" s="1"/>
      <c r="BF173" s="1"/>
    </row>
    <row r="174" s="48" customFormat="true" ht="15" hidden="false" customHeight="true" outlineLevel="0" collapsed="false">
      <c r="A174" s="42" t="s">
        <v>243</v>
      </c>
      <c r="B174" s="42" t="n">
        <v>57</v>
      </c>
      <c r="C174" s="43" t="n">
        <v>0</v>
      </c>
      <c r="D174" s="44"/>
      <c r="E174" s="44" t="n">
        <v>111</v>
      </c>
      <c r="F174" s="44"/>
      <c r="G174" s="44"/>
      <c r="H174" s="44" t="n">
        <f aca="false">B174+D174+E174+F174+G174+C174</f>
        <v>168</v>
      </c>
      <c r="I174" s="45"/>
      <c r="J174" s="49"/>
      <c r="K174" s="49"/>
      <c r="L174" s="49"/>
      <c r="M174" s="49"/>
      <c r="N174" s="49" t="n">
        <v>180</v>
      </c>
      <c r="O174" s="49"/>
      <c r="P174" s="49"/>
      <c r="Q174" s="49" t="n">
        <v>38</v>
      </c>
      <c r="R174" s="49" t="n">
        <v>26</v>
      </c>
      <c r="S174" s="49" t="n">
        <v>15</v>
      </c>
      <c r="T174" s="49"/>
      <c r="U174" s="49" t="n">
        <v>46</v>
      </c>
      <c r="V174" s="47" t="n">
        <f aca="false">J174+K174+L174+M174+N174+O174+P174+Q174+R174+S174+T174+U174</f>
        <v>305</v>
      </c>
      <c r="W174" s="47" t="n">
        <f aca="false">H174-V174</f>
        <v>-137</v>
      </c>
      <c r="X174" s="48" t="n">
        <v>17.5</v>
      </c>
      <c r="Y174" s="48" t="n">
        <f aca="false">B174*$X174</f>
        <v>997.5</v>
      </c>
      <c r="Z174" s="48" t="n">
        <f aca="false">C174*$X174</f>
        <v>0</v>
      </c>
      <c r="AA174" s="48" t="n">
        <f aca="false">D174*$X174</f>
        <v>0</v>
      </c>
      <c r="AB174" s="48" t="n">
        <f aca="false">E174*$X174</f>
        <v>1942.5</v>
      </c>
      <c r="AC174" s="48" t="n">
        <f aca="false">F174*$X174</f>
        <v>0</v>
      </c>
      <c r="AD174" s="48" t="n">
        <f aca="false">G174*$X174</f>
        <v>0</v>
      </c>
      <c r="AE174" s="48" t="n">
        <f aca="false">H174*$X174</f>
        <v>2940</v>
      </c>
      <c r="AF174" s="48" t="n">
        <f aca="false">I174*$X174</f>
        <v>0</v>
      </c>
      <c r="AG174" s="48" t="n">
        <f aca="false">J174*$X174</f>
        <v>0</v>
      </c>
      <c r="AH174" s="48" t="n">
        <f aca="false">K174*$X174</f>
        <v>0</v>
      </c>
      <c r="AI174" s="48" t="n">
        <f aca="false">L174*$X174</f>
        <v>0</v>
      </c>
      <c r="AJ174" s="48" t="n">
        <f aca="false">M174*$X174</f>
        <v>0</v>
      </c>
      <c r="AK174" s="48" t="n">
        <f aca="false">N174*$X174</f>
        <v>3150</v>
      </c>
      <c r="AL174" s="48" t="n">
        <f aca="false">O174*$X174</f>
        <v>0</v>
      </c>
      <c r="AM174" s="48" t="n">
        <f aca="false">P174*$X174</f>
        <v>0</v>
      </c>
      <c r="AN174" s="48" t="n">
        <f aca="false">Q174*$X174</f>
        <v>665</v>
      </c>
      <c r="AO174" s="48" t="n">
        <f aca="false">R174*$X174</f>
        <v>455</v>
      </c>
      <c r="AP174" s="48" t="n">
        <f aca="false">S174*$X174</f>
        <v>262.5</v>
      </c>
      <c r="AQ174" s="48" t="n">
        <f aca="false">T174*$X174</f>
        <v>0</v>
      </c>
      <c r="AR174" s="48" t="n">
        <f aca="false">U174*$X174</f>
        <v>805</v>
      </c>
      <c r="AS174" s="48" t="n">
        <f aca="false">V174*$X174</f>
        <v>5337.5</v>
      </c>
      <c r="AT174" s="48" t="n">
        <f aca="false">W174*$X174</f>
        <v>-2397.5</v>
      </c>
      <c r="AU174" s="48" t="n">
        <f aca="false">X174*$X174</f>
        <v>306.25</v>
      </c>
      <c r="AV174" s="48" t="n">
        <f aca="false">Y174*$X174</f>
        <v>17456.25</v>
      </c>
      <c r="AW174" s="48" t="n">
        <f aca="false">Z174*$X174</f>
        <v>0</v>
      </c>
      <c r="AX174" s="48" t="n">
        <f aca="false">AA174*$X174</f>
        <v>0</v>
      </c>
      <c r="AY174" s="48" t="n">
        <f aca="false">AB174*$X174</f>
        <v>33993.75</v>
      </c>
      <c r="AZ174" s="48" t="n">
        <f aca="false">AC174*$X174</f>
        <v>0</v>
      </c>
      <c r="BA174" s="1"/>
      <c r="BB174" s="1"/>
      <c r="BC174" s="1"/>
      <c r="BD174" s="1"/>
      <c r="BE174" s="1"/>
      <c r="BF174" s="1"/>
    </row>
    <row r="175" s="48" customFormat="true" ht="15" hidden="false" customHeight="true" outlineLevel="0" collapsed="false">
      <c r="A175" s="42" t="s">
        <v>244</v>
      </c>
      <c r="B175" s="42" t="n">
        <v>0</v>
      </c>
      <c r="C175" s="43"/>
      <c r="D175" s="44"/>
      <c r="E175" s="44"/>
      <c r="F175" s="44"/>
      <c r="G175" s="44"/>
      <c r="H175" s="44" t="n">
        <f aca="false">B175+D175+E175+F175+G175+C175</f>
        <v>0</v>
      </c>
      <c r="I175" s="45"/>
      <c r="J175" s="49" t="n">
        <v>28</v>
      </c>
      <c r="K175" s="49"/>
      <c r="L175" s="49" t="n">
        <v>13</v>
      </c>
      <c r="M175" s="49"/>
      <c r="N175" s="49"/>
      <c r="O175" s="49"/>
      <c r="P175" s="49"/>
      <c r="Q175" s="49"/>
      <c r="R175" s="49"/>
      <c r="S175" s="49"/>
      <c r="T175" s="49"/>
      <c r="U175" s="49"/>
      <c r="V175" s="47" t="n">
        <f aca="false">J175+K175+L175+M175+N175+O175+P175+Q175+R175+S175+T175+U175</f>
        <v>41</v>
      </c>
      <c r="W175" s="47" t="n">
        <f aca="false">H175-V175</f>
        <v>-41</v>
      </c>
      <c r="X175" s="48" t="n">
        <v>4.14</v>
      </c>
      <c r="Y175" s="48" t="n">
        <f aca="false">B175*$X175</f>
        <v>0</v>
      </c>
      <c r="Z175" s="48" t="n">
        <f aca="false">C175*$X175</f>
        <v>0</v>
      </c>
      <c r="AA175" s="48" t="n">
        <f aca="false">D175*$X175</f>
        <v>0</v>
      </c>
      <c r="AB175" s="48" t="n">
        <f aca="false">E175*$X175</f>
        <v>0</v>
      </c>
      <c r="AC175" s="48" t="n">
        <f aca="false">F175*$X175</f>
        <v>0</v>
      </c>
      <c r="AD175" s="48" t="n">
        <f aca="false">G175*$X175</f>
        <v>0</v>
      </c>
      <c r="AE175" s="48" t="n">
        <f aca="false">H175*$X175</f>
        <v>0</v>
      </c>
      <c r="AF175" s="48" t="n">
        <f aca="false">I175*$X175</f>
        <v>0</v>
      </c>
      <c r="AG175" s="48" t="n">
        <f aca="false">J175*$X175</f>
        <v>115.92</v>
      </c>
      <c r="AH175" s="48" t="n">
        <f aca="false">K175*$X175</f>
        <v>0</v>
      </c>
      <c r="AI175" s="48" t="n">
        <f aca="false">L175*$X175</f>
        <v>53.82</v>
      </c>
      <c r="AJ175" s="48" t="n">
        <f aca="false">M175*$X175</f>
        <v>0</v>
      </c>
      <c r="AK175" s="48" t="n">
        <f aca="false">N175*$X175</f>
        <v>0</v>
      </c>
      <c r="AL175" s="48" t="n">
        <f aca="false">O175*$X175</f>
        <v>0</v>
      </c>
      <c r="AM175" s="48" t="n">
        <f aca="false">P175*$X175</f>
        <v>0</v>
      </c>
      <c r="AN175" s="48" t="n">
        <f aca="false">Q175*$X175</f>
        <v>0</v>
      </c>
      <c r="AO175" s="48" t="n">
        <f aca="false">R175*$X175</f>
        <v>0</v>
      </c>
      <c r="AP175" s="48" t="n">
        <f aca="false">S175*$X175</f>
        <v>0</v>
      </c>
      <c r="AQ175" s="48" t="n">
        <f aca="false">T175*$X175</f>
        <v>0</v>
      </c>
      <c r="AR175" s="48" t="n">
        <f aca="false">U175*$X175</f>
        <v>0</v>
      </c>
      <c r="AS175" s="48" t="n">
        <f aca="false">V175*$X175</f>
        <v>169.74</v>
      </c>
      <c r="AT175" s="48" t="n">
        <f aca="false">W175*$X175</f>
        <v>-169.74</v>
      </c>
      <c r="AU175" s="48" t="n">
        <f aca="false">X175*$X175</f>
        <v>17.1396</v>
      </c>
      <c r="AV175" s="48" t="n">
        <f aca="false">Y175*$X175</f>
        <v>0</v>
      </c>
      <c r="AW175" s="48" t="n">
        <f aca="false">Z175*$X175</f>
        <v>0</v>
      </c>
      <c r="AX175" s="48" t="n">
        <f aca="false">AA175*$X175</f>
        <v>0</v>
      </c>
      <c r="AY175" s="48" t="n">
        <f aca="false">AB175*$X175</f>
        <v>0</v>
      </c>
      <c r="AZ175" s="48" t="n">
        <f aca="false">AC175*$X175</f>
        <v>0</v>
      </c>
      <c r="BA175" s="1"/>
      <c r="BB175" s="1"/>
      <c r="BC175" s="1"/>
      <c r="BD175" s="1"/>
      <c r="BE175" s="1"/>
      <c r="BF175" s="1"/>
    </row>
    <row r="176" s="48" customFormat="true" ht="15" hidden="false" customHeight="true" outlineLevel="0" collapsed="false">
      <c r="A176" s="42" t="s">
        <v>245</v>
      </c>
      <c r="B176" s="42" t="n">
        <v>0</v>
      </c>
      <c r="C176" s="43"/>
      <c r="D176" s="44"/>
      <c r="E176" s="44"/>
      <c r="F176" s="44"/>
      <c r="G176" s="44"/>
      <c r="H176" s="44" t="n">
        <f aca="false">B176+D176+E176+F176+G176+C176</f>
        <v>0</v>
      </c>
      <c r="I176" s="45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7" t="n">
        <f aca="false">J176+K176+L176+M176+N176+O176+P176+Q176+R176+S176+T176+U176</f>
        <v>0</v>
      </c>
      <c r="W176" s="47" t="n">
        <f aca="false">H176-V176</f>
        <v>0</v>
      </c>
      <c r="X176" s="48" t="n">
        <v>5.9</v>
      </c>
      <c r="Y176" s="48" t="n">
        <f aca="false">B176*$X176</f>
        <v>0</v>
      </c>
      <c r="Z176" s="48" t="n">
        <f aca="false">C176*$X176</f>
        <v>0</v>
      </c>
      <c r="AA176" s="48" t="n">
        <f aca="false">D176*$X176</f>
        <v>0</v>
      </c>
      <c r="AB176" s="48" t="n">
        <f aca="false">E176*$X176</f>
        <v>0</v>
      </c>
      <c r="AC176" s="48" t="n">
        <f aca="false">F176*$X176</f>
        <v>0</v>
      </c>
      <c r="AD176" s="48" t="n">
        <f aca="false">G176*$X176</f>
        <v>0</v>
      </c>
      <c r="AE176" s="48" t="n">
        <f aca="false">H176*$X176</f>
        <v>0</v>
      </c>
      <c r="AF176" s="48" t="n">
        <f aca="false">I176*$X176</f>
        <v>0</v>
      </c>
      <c r="AG176" s="48" t="n">
        <f aca="false">J176*$X176</f>
        <v>0</v>
      </c>
      <c r="AH176" s="48" t="n">
        <f aca="false">K176*$X176</f>
        <v>0</v>
      </c>
      <c r="AI176" s="48" t="n">
        <f aca="false">L176*$X176</f>
        <v>0</v>
      </c>
      <c r="AJ176" s="48" t="n">
        <f aca="false">M176*$X176</f>
        <v>0</v>
      </c>
      <c r="AK176" s="48" t="n">
        <f aca="false">N176*$X176</f>
        <v>0</v>
      </c>
      <c r="AL176" s="48" t="n">
        <f aca="false">O176*$X176</f>
        <v>0</v>
      </c>
      <c r="AM176" s="48" t="n">
        <f aca="false">P176*$X176</f>
        <v>0</v>
      </c>
      <c r="AN176" s="48" t="n">
        <f aca="false">Q176*$X176</f>
        <v>0</v>
      </c>
      <c r="AO176" s="48" t="n">
        <f aca="false">R176*$X176</f>
        <v>0</v>
      </c>
      <c r="AP176" s="48" t="n">
        <f aca="false">S176*$X176</f>
        <v>0</v>
      </c>
      <c r="AQ176" s="48" t="n">
        <f aca="false">T176*$X176</f>
        <v>0</v>
      </c>
      <c r="AR176" s="48" t="n">
        <f aca="false">U176*$X176</f>
        <v>0</v>
      </c>
      <c r="AS176" s="48" t="n">
        <f aca="false">V176*$X176</f>
        <v>0</v>
      </c>
      <c r="AT176" s="48" t="n">
        <f aca="false">W176*$X176</f>
        <v>0</v>
      </c>
      <c r="AU176" s="48" t="n">
        <f aca="false">X176*$X176</f>
        <v>34.81</v>
      </c>
      <c r="AV176" s="48" t="n">
        <f aca="false">Y176*$X176</f>
        <v>0</v>
      </c>
      <c r="AW176" s="48" t="n">
        <f aca="false">Z176*$X176</f>
        <v>0</v>
      </c>
      <c r="AX176" s="48" t="n">
        <f aca="false">AA176*$X176</f>
        <v>0</v>
      </c>
      <c r="AY176" s="48" t="n">
        <f aca="false">AB176*$X176</f>
        <v>0</v>
      </c>
      <c r="AZ176" s="48" t="n">
        <f aca="false">AC176*$X176</f>
        <v>0</v>
      </c>
      <c r="BA176" s="1"/>
      <c r="BB176" s="1"/>
      <c r="BC176" s="1"/>
      <c r="BD176" s="1"/>
      <c r="BE176" s="1"/>
      <c r="BF176" s="1"/>
    </row>
    <row r="177" s="48" customFormat="true" ht="15" hidden="false" customHeight="true" outlineLevel="0" collapsed="false">
      <c r="A177" s="42" t="s">
        <v>246</v>
      </c>
      <c r="B177" s="42" t="n">
        <v>21</v>
      </c>
      <c r="C177" s="43"/>
      <c r="D177" s="44"/>
      <c r="E177" s="44"/>
      <c r="F177" s="44" t="n">
        <v>12</v>
      </c>
      <c r="G177" s="44"/>
      <c r="H177" s="44" t="n">
        <f aca="false">B177+D177+E177+F177+G177+C177</f>
        <v>33</v>
      </c>
      <c r="I177" s="45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7" t="n">
        <f aca="false">J177+K177+L177+M177+N177+O177+P177+Q177+R177+S177+T177+U177</f>
        <v>0</v>
      </c>
      <c r="W177" s="47" t="n">
        <f aca="false">H177-V177</f>
        <v>33</v>
      </c>
      <c r="X177" s="48" t="n">
        <v>4</v>
      </c>
      <c r="Y177" s="48" t="n">
        <f aca="false">B177*$X177</f>
        <v>84</v>
      </c>
      <c r="Z177" s="48" t="n">
        <f aca="false">C177*$X177</f>
        <v>0</v>
      </c>
      <c r="AA177" s="48" t="n">
        <f aca="false">D177*$X177</f>
        <v>0</v>
      </c>
      <c r="AB177" s="48" t="n">
        <f aca="false">E177*$X177</f>
        <v>0</v>
      </c>
      <c r="AC177" s="48" t="n">
        <f aca="false">F177*$X177</f>
        <v>48</v>
      </c>
      <c r="AD177" s="48" t="n">
        <f aca="false">G177*$X177</f>
        <v>0</v>
      </c>
      <c r="AE177" s="48" t="n">
        <f aca="false">H177*$X177</f>
        <v>132</v>
      </c>
      <c r="AF177" s="48" t="n">
        <f aca="false">I177*$X177</f>
        <v>0</v>
      </c>
      <c r="AG177" s="48" t="n">
        <f aca="false">J177*$X177</f>
        <v>0</v>
      </c>
      <c r="AH177" s="48" t="n">
        <f aca="false">K177*$X177</f>
        <v>0</v>
      </c>
      <c r="AI177" s="48" t="n">
        <f aca="false">L177*$X177</f>
        <v>0</v>
      </c>
      <c r="AJ177" s="48" t="n">
        <f aca="false">M177*$X177</f>
        <v>0</v>
      </c>
      <c r="AK177" s="48" t="n">
        <f aca="false">N177*$X177</f>
        <v>0</v>
      </c>
      <c r="AL177" s="48" t="n">
        <f aca="false">O177*$X177</f>
        <v>0</v>
      </c>
      <c r="AM177" s="48" t="n">
        <f aca="false">P177*$X177</f>
        <v>0</v>
      </c>
      <c r="AN177" s="48" t="n">
        <f aca="false">Q177*$X177</f>
        <v>0</v>
      </c>
      <c r="AO177" s="48" t="n">
        <f aca="false">R177*$X177</f>
        <v>0</v>
      </c>
      <c r="AP177" s="48" t="n">
        <f aca="false">S177*$X177</f>
        <v>0</v>
      </c>
      <c r="AQ177" s="48" t="n">
        <f aca="false">T177*$X177</f>
        <v>0</v>
      </c>
      <c r="AR177" s="48" t="n">
        <f aca="false">U177*$X177</f>
        <v>0</v>
      </c>
      <c r="AS177" s="48" t="n">
        <f aca="false">V177*$X177</f>
        <v>0</v>
      </c>
      <c r="AT177" s="48" t="n">
        <f aca="false">W177*$X177</f>
        <v>132</v>
      </c>
      <c r="AU177" s="48" t="n">
        <f aca="false">X177*$X177</f>
        <v>16</v>
      </c>
      <c r="AV177" s="48" t="n">
        <f aca="false">Y177*$X177</f>
        <v>336</v>
      </c>
      <c r="AW177" s="48" t="n">
        <f aca="false">Z177*$X177</f>
        <v>0</v>
      </c>
      <c r="AX177" s="48" t="n">
        <f aca="false">AA177*$X177</f>
        <v>0</v>
      </c>
      <c r="AY177" s="48" t="n">
        <f aca="false">AB177*$X177</f>
        <v>0</v>
      </c>
      <c r="AZ177" s="48" t="n">
        <f aca="false">AC177*$X177</f>
        <v>192</v>
      </c>
      <c r="BA177" s="1"/>
      <c r="BB177" s="1"/>
      <c r="BC177" s="1"/>
      <c r="BD177" s="1"/>
      <c r="BE177" s="1"/>
      <c r="BF177" s="1"/>
    </row>
    <row r="178" s="48" customFormat="true" ht="15" hidden="false" customHeight="true" outlineLevel="0" collapsed="false">
      <c r="A178" s="42" t="s">
        <v>247</v>
      </c>
      <c r="B178" s="42" t="n">
        <v>0</v>
      </c>
      <c r="C178" s="43"/>
      <c r="D178" s="44"/>
      <c r="E178" s="44"/>
      <c r="F178" s="44"/>
      <c r="G178" s="44"/>
      <c r="H178" s="44" t="n">
        <f aca="false">B178+D178+E178+F178+G178+C178</f>
        <v>0</v>
      </c>
      <c r="I178" s="45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7" t="n">
        <f aca="false">J178+K178+L178+M178+N178+O178+P178+Q178+R178+S178+T178+U178</f>
        <v>0</v>
      </c>
      <c r="W178" s="47" t="n">
        <f aca="false">H178-V178</f>
        <v>0</v>
      </c>
      <c r="X178" s="48" t="n">
        <v>2.95</v>
      </c>
      <c r="Y178" s="48" t="n">
        <f aca="false">B178*$X178</f>
        <v>0</v>
      </c>
      <c r="Z178" s="48" t="n">
        <f aca="false">C178*$X178</f>
        <v>0</v>
      </c>
      <c r="AA178" s="48" t="n">
        <f aca="false">D178*$X178</f>
        <v>0</v>
      </c>
      <c r="AB178" s="48" t="n">
        <f aca="false">E178*$X178</f>
        <v>0</v>
      </c>
      <c r="AC178" s="48" t="n">
        <f aca="false">F178*$X178</f>
        <v>0</v>
      </c>
      <c r="AD178" s="48" t="n">
        <f aca="false">G178*$X178</f>
        <v>0</v>
      </c>
      <c r="AE178" s="48" t="n">
        <f aca="false">H178*$X178</f>
        <v>0</v>
      </c>
      <c r="AF178" s="48" t="n">
        <f aca="false">I178*$X178</f>
        <v>0</v>
      </c>
      <c r="AG178" s="48" t="n">
        <f aca="false">J178*$X178</f>
        <v>0</v>
      </c>
      <c r="AH178" s="48" t="n">
        <f aca="false">K178*$X178</f>
        <v>0</v>
      </c>
      <c r="AI178" s="48" t="n">
        <f aca="false">L178*$X178</f>
        <v>0</v>
      </c>
      <c r="AJ178" s="48" t="n">
        <f aca="false">M178*$X178</f>
        <v>0</v>
      </c>
      <c r="AK178" s="48" t="n">
        <f aca="false">N178*$X178</f>
        <v>0</v>
      </c>
      <c r="AL178" s="48" t="n">
        <f aca="false">O178*$X178</f>
        <v>0</v>
      </c>
      <c r="AM178" s="48" t="n">
        <f aca="false">P178*$X178</f>
        <v>0</v>
      </c>
      <c r="AN178" s="48" t="n">
        <f aca="false">Q178*$X178</f>
        <v>0</v>
      </c>
      <c r="AO178" s="48" t="n">
        <f aca="false">R178*$X178</f>
        <v>0</v>
      </c>
      <c r="AP178" s="48" t="n">
        <f aca="false">S178*$X178</f>
        <v>0</v>
      </c>
      <c r="AQ178" s="48" t="n">
        <f aca="false">T178*$X178</f>
        <v>0</v>
      </c>
      <c r="AR178" s="48" t="n">
        <f aca="false">U178*$X178</f>
        <v>0</v>
      </c>
      <c r="AS178" s="48" t="n">
        <f aca="false">V178*$X178</f>
        <v>0</v>
      </c>
      <c r="AT178" s="48" t="n">
        <f aca="false">W178*$X178</f>
        <v>0</v>
      </c>
      <c r="AU178" s="48" t="n">
        <f aca="false">X178*$X178</f>
        <v>8.7025</v>
      </c>
      <c r="AV178" s="48" t="n">
        <f aca="false">Y178*$X178</f>
        <v>0</v>
      </c>
      <c r="AW178" s="48" t="n">
        <f aca="false">Z178*$X178</f>
        <v>0</v>
      </c>
      <c r="AX178" s="48" t="n">
        <f aca="false">AA178*$X178</f>
        <v>0</v>
      </c>
      <c r="AY178" s="48" t="n">
        <f aca="false">AB178*$X178</f>
        <v>0</v>
      </c>
      <c r="AZ178" s="48" t="n">
        <f aca="false">AC178*$X178</f>
        <v>0</v>
      </c>
      <c r="BA178" s="1"/>
      <c r="BB178" s="1"/>
      <c r="BC178" s="1"/>
      <c r="BD178" s="1"/>
      <c r="BE178" s="1"/>
      <c r="BF178" s="1"/>
    </row>
    <row r="179" s="48" customFormat="true" ht="15" hidden="false" customHeight="true" outlineLevel="0" collapsed="false">
      <c r="A179" s="42" t="s">
        <v>248</v>
      </c>
      <c r="B179" s="42" t="n">
        <v>0</v>
      </c>
      <c r="C179" s="43"/>
      <c r="D179" s="44"/>
      <c r="E179" s="44"/>
      <c r="F179" s="44"/>
      <c r="G179" s="44"/>
      <c r="H179" s="44" t="n">
        <f aca="false">B179+D179+E179+F179+G179+C179</f>
        <v>0</v>
      </c>
      <c r="I179" s="45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7" t="n">
        <f aca="false">J179+K179+L179+M179+N179+O179+P179+Q179+R179+S179+T179+U179</f>
        <v>0</v>
      </c>
      <c r="W179" s="47" t="n">
        <f aca="false">H179-V179</f>
        <v>0</v>
      </c>
      <c r="X179" s="48" t="n">
        <v>4.06</v>
      </c>
      <c r="Y179" s="48" t="n">
        <f aca="false">B179*$X179</f>
        <v>0</v>
      </c>
      <c r="Z179" s="48" t="n">
        <f aca="false">C179*$X179</f>
        <v>0</v>
      </c>
      <c r="AA179" s="48" t="n">
        <f aca="false">D179*$X179</f>
        <v>0</v>
      </c>
      <c r="AB179" s="48" t="n">
        <f aca="false">E179*$X179</f>
        <v>0</v>
      </c>
      <c r="AC179" s="48" t="n">
        <f aca="false">F179*$X179</f>
        <v>0</v>
      </c>
      <c r="AD179" s="48" t="n">
        <f aca="false">G179*$X179</f>
        <v>0</v>
      </c>
      <c r="AE179" s="48" t="n">
        <f aca="false">H179*$X179</f>
        <v>0</v>
      </c>
      <c r="AF179" s="48" t="n">
        <f aca="false">I179*$X179</f>
        <v>0</v>
      </c>
      <c r="AG179" s="48" t="n">
        <f aca="false">J179*$X179</f>
        <v>0</v>
      </c>
      <c r="AH179" s="48" t="n">
        <f aca="false">K179*$X179</f>
        <v>0</v>
      </c>
      <c r="AI179" s="48" t="n">
        <f aca="false">L179*$X179</f>
        <v>0</v>
      </c>
      <c r="AJ179" s="48" t="n">
        <f aca="false">M179*$X179</f>
        <v>0</v>
      </c>
      <c r="AK179" s="48" t="n">
        <f aca="false">N179*$X179</f>
        <v>0</v>
      </c>
      <c r="AL179" s="48" t="n">
        <f aca="false">O179*$X179</f>
        <v>0</v>
      </c>
      <c r="AM179" s="48" t="n">
        <f aca="false">P179*$X179</f>
        <v>0</v>
      </c>
      <c r="AN179" s="48" t="n">
        <f aca="false">Q179*$X179</f>
        <v>0</v>
      </c>
      <c r="AO179" s="48" t="n">
        <f aca="false">R179*$X179</f>
        <v>0</v>
      </c>
      <c r="AP179" s="48" t="n">
        <f aca="false">S179*$X179</f>
        <v>0</v>
      </c>
      <c r="AQ179" s="48" t="n">
        <f aca="false">T179*$X179</f>
        <v>0</v>
      </c>
      <c r="AR179" s="48" t="n">
        <f aca="false">U179*$X179</f>
        <v>0</v>
      </c>
      <c r="AS179" s="48" t="n">
        <f aca="false">V179*$X179</f>
        <v>0</v>
      </c>
      <c r="AT179" s="48" t="n">
        <f aca="false">W179*$X179</f>
        <v>0</v>
      </c>
      <c r="AU179" s="48" t="n">
        <f aca="false">X179*$X179</f>
        <v>16.4836</v>
      </c>
      <c r="AV179" s="48" t="n">
        <f aca="false">Y179*$X179</f>
        <v>0</v>
      </c>
      <c r="AW179" s="48" t="n">
        <f aca="false">Z179*$X179</f>
        <v>0</v>
      </c>
      <c r="AX179" s="48" t="n">
        <f aca="false">AA179*$X179</f>
        <v>0</v>
      </c>
      <c r="AY179" s="48" t="n">
        <f aca="false">AB179*$X179</f>
        <v>0</v>
      </c>
      <c r="AZ179" s="48" t="n">
        <f aca="false">AC179*$X179</f>
        <v>0</v>
      </c>
      <c r="BA179" s="1"/>
      <c r="BB179" s="1"/>
      <c r="BC179" s="1"/>
      <c r="BD179" s="1"/>
      <c r="BE179" s="1"/>
      <c r="BF179" s="1"/>
    </row>
    <row r="180" s="48" customFormat="true" ht="15" hidden="false" customHeight="true" outlineLevel="0" collapsed="false">
      <c r="A180" s="42" t="s">
        <v>249</v>
      </c>
      <c r="B180" s="42" t="n">
        <v>0</v>
      </c>
      <c r="C180" s="43"/>
      <c r="D180" s="44"/>
      <c r="E180" s="44"/>
      <c r="F180" s="44"/>
      <c r="G180" s="44"/>
      <c r="H180" s="44" t="n">
        <f aca="false">B180+D180+E180+F180+G180+C180</f>
        <v>0</v>
      </c>
      <c r="I180" s="45"/>
      <c r="J180" s="49"/>
      <c r="K180" s="49"/>
      <c r="L180" s="49" t="n">
        <v>16</v>
      </c>
      <c r="M180" s="49"/>
      <c r="N180" s="49"/>
      <c r="O180" s="49"/>
      <c r="P180" s="49"/>
      <c r="Q180" s="49"/>
      <c r="R180" s="49"/>
      <c r="S180" s="49"/>
      <c r="T180" s="49"/>
      <c r="U180" s="49"/>
      <c r="V180" s="47" t="n">
        <f aca="false">J180+K180+L180+M180+N180+O180+P180+Q180+R180+S180+T180+U180</f>
        <v>16</v>
      </c>
      <c r="W180" s="47" t="n">
        <f aca="false">H180-V180</f>
        <v>-16</v>
      </c>
      <c r="X180" s="48" t="n">
        <v>5.17</v>
      </c>
      <c r="Y180" s="48" t="n">
        <f aca="false">B180*$X180</f>
        <v>0</v>
      </c>
      <c r="Z180" s="48" t="n">
        <f aca="false">C180*$X180</f>
        <v>0</v>
      </c>
      <c r="AA180" s="48" t="n">
        <f aca="false">D180*$X180</f>
        <v>0</v>
      </c>
      <c r="AB180" s="48" t="n">
        <f aca="false">E180*$X180</f>
        <v>0</v>
      </c>
      <c r="AC180" s="48" t="n">
        <f aca="false">F180*$X180</f>
        <v>0</v>
      </c>
      <c r="AD180" s="48" t="n">
        <f aca="false">G180*$X180</f>
        <v>0</v>
      </c>
      <c r="AE180" s="48" t="n">
        <f aca="false">H180*$X180</f>
        <v>0</v>
      </c>
      <c r="AF180" s="48" t="n">
        <f aca="false">I180*$X180</f>
        <v>0</v>
      </c>
      <c r="AG180" s="48" t="n">
        <f aca="false">J180*$X180</f>
        <v>0</v>
      </c>
      <c r="AH180" s="48" t="n">
        <f aca="false">K180*$X180</f>
        <v>0</v>
      </c>
      <c r="AI180" s="48" t="n">
        <f aca="false">L180*$X180</f>
        <v>82.72</v>
      </c>
      <c r="AJ180" s="48" t="n">
        <f aca="false">M180*$X180</f>
        <v>0</v>
      </c>
      <c r="AK180" s="48" t="n">
        <f aca="false">N180*$X180</f>
        <v>0</v>
      </c>
      <c r="AL180" s="48" t="n">
        <f aca="false">O180*$X180</f>
        <v>0</v>
      </c>
      <c r="AM180" s="48" t="n">
        <f aca="false">P180*$X180</f>
        <v>0</v>
      </c>
      <c r="AN180" s="48" t="n">
        <f aca="false">Q180*$X180</f>
        <v>0</v>
      </c>
      <c r="AO180" s="48" t="n">
        <f aca="false">R180*$X180</f>
        <v>0</v>
      </c>
      <c r="AP180" s="48" t="n">
        <f aca="false">S180*$X180</f>
        <v>0</v>
      </c>
      <c r="AQ180" s="48" t="n">
        <f aca="false">T180*$X180</f>
        <v>0</v>
      </c>
      <c r="AR180" s="48" t="n">
        <f aca="false">U180*$X180</f>
        <v>0</v>
      </c>
      <c r="AS180" s="48" t="n">
        <f aca="false">V180*$X180</f>
        <v>82.72</v>
      </c>
      <c r="AT180" s="48" t="n">
        <f aca="false">W180*$X180</f>
        <v>-82.72</v>
      </c>
      <c r="AU180" s="48" t="n">
        <f aca="false">X180*$X180</f>
        <v>26.7289</v>
      </c>
      <c r="AV180" s="48" t="n">
        <f aca="false">Y180*$X180</f>
        <v>0</v>
      </c>
      <c r="AW180" s="48" t="n">
        <f aca="false">Z180*$X180</f>
        <v>0</v>
      </c>
      <c r="AX180" s="48" t="n">
        <f aca="false">AA180*$X180</f>
        <v>0</v>
      </c>
      <c r="AY180" s="48" t="n">
        <f aca="false">AB180*$X180</f>
        <v>0</v>
      </c>
      <c r="AZ180" s="48" t="n">
        <f aca="false">AC180*$X180</f>
        <v>0</v>
      </c>
      <c r="BA180" s="1"/>
      <c r="BB180" s="1"/>
      <c r="BC180" s="1"/>
      <c r="BD180" s="1"/>
      <c r="BE180" s="1"/>
      <c r="BF180" s="1"/>
    </row>
    <row r="181" s="48" customFormat="true" ht="15" hidden="false" customHeight="true" outlineLevel="0" collapsed="false">
      <c r="A181" s="42" t="s">
        <v>250</v>
      </c>
      <c r="B181" s="42" t="n">
        <v>0</v>
      </c>
      <c r="C181" s="43"/>
      <c r="D181" s="44"/>
      <c r="E181" s="44"/>
      <c r="F181" s="44"/>
      <c r="G181" s="44"/>
      <c r="H181" s="44" t="n">
        <f aca="false">B181+D181+E181+F181+G181+C181</f>
        <v>0</v>
      </c>
      <c r="I181" s="45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7" t="n">
        <f aca="false">J181+K181+L181+M181+N181+O181+P181+Q181+R181+S181+T181+U181</f>
        <v>0</v>
      </c>
      <c r="W181" s="47" t="n">
        <f aca="false">H181-V181</f>
        <v>0</v>
      </c>
      <c r="X181" s="48" t="n">
        <v>4.4</v>
      </c>
      <c r="Y181" s="48" t="n">
        <f aca="false">B181*$X181</f>
        <v>0</v>
      </c>
      <c r="Z181" s="48" t="n">
        <f aca="false">C181*$X181</f>
        <v>0</v>
      </c>
      <c r="AA181" s="48" t="n">
        <f aca="false">D181*$X181</f>
        <v>0</v>
      </c>
      <c r="AB181" s="48" t="n">
        <f aca="false">E181*$X181</f>
        <v>0</v>
      </c>
      <c r="AC181" s="48" t="n">
        <f aca="false">F181*$X181</f>
        <v>0</v>
      </c>
      <c r="AD181" s="48" t="n">
        <f aca="false">G181*$X181</f>
        <v>0</v>
      </c>
      <c r="AE181" s="48" t="n">
        <f aca="false">H181*$X181</f>
        <v>0</v>
      </c>
      <c r="AF181" s="48" t="n">
        <f aca="false">I181*$X181</f>
        <v>0</v>
      </c>
      <c r="AG181" s="48" t="n">
        <f aca="false">J181*$X181</f>
        <v>0</v>
      </c>
      <c r="AH181" s="48" t="n">
        <f aca="false">K181*$X181</f>
        <v>0</v>
      </c>
      <c r="AI181" s="48" t="n">
        <f aca="false">L181*$X181</f>
        <v>0</v>
      </c>
      <c r="AJ181" s="48" t="n">
        <f aca="false">M181*$X181</f>
        <v>0</v>
      </c>
      <c r="AK181" s="48" t="n">
        <f aca="false">N181*$X181</f>
        <v>0</v>
      </c>
      <c r="AL181" s="48" t="n">
        <f aca="false">O181*$X181</f>
        <v>0</v>
      </c>
      <c r="AM181" s="48" t="n">
        <f aca="false">P181*$X181</f>
        <v>0</v>
      </c>
      <c r="AN181" s="48" t="n">
        <f aca="false">Q181*$X181</f>
        <v>0</v>
      </c>
      <c r="AO181" s="48" t="n">
        <f aca="false">R181*$X181</f>
        <v>0</v>
      </c>
      <c r="AP181" s="48" t="n">
        <f aca="false">S181*$X181</f>
        <v>0</v>
      </c>
      <c r="AQ181" s="48" t="n">
        <f aca="false">T181*$X181</f>
        <v>0</v>
      </c>
      <c r="AR181" s="48" t="n">
        <f aca="false">U181*$X181</f>
        <v>0</v>
      </c>
      <c r="AS181" s="48" t="n">
        <f aca="false">V181*$X181</f>
        <v>0</v>
      </c>
      <c r="AT181" s="48" t="n">
        <f aca="false">W181*$X181</f>
        <v>0</v>
      </c>
      <c r="AU181" s="48" t="n">
        <f aca="false">X181*$X181</f>
        <v>19.36</v>
      </c>
      <c r="AV181" s="48" t="n">
        <f aca="false">Y181*$X181</f>
        <v>0</v>
      </c>
      <c r="AW181" s="48" t="n">
        <f aca="false">Z181*$X181</f>
        <v>0</v>
      </c>
      <c r="AX181" s="48" t="n">
        <f aca="false">AA181*$X181</f>
        <v>0</v>
      </c>
      <c r="AY181" s="48" t="n">
        <f aca="false">AB181*$X181</f>
        <v>0</v>
      </c>
      <c r="AZ181" s="48" t="n">
        <f aca="false">AC181*$X181</f>
        <v>0</v>
      </c>
      <c r="BA181" s="1"/>
      <c r="BB181" s="1"/>
      <c r="BC181" s="1"/>
      <c r="BD181" s="1"/>
      <c r="BE181" s="1"/>
      <c r="BF181" s="1"/>
    </row>
    <row r="182" s="48" customFormat="true" ht="15" hidden="false" customHeight="true" outlineLevel="0" collapsed="false">
      <c r="A182" s="42" t="s">
        <v>251</v>
      </c>
      <c r="B182" s="42" t="n">
        <v>8</v>
      </c>
      <c r="C182" s="43"/>
      <c r="D182" s="44"/>
      <c r="E182" s="44"/>
      <c r="F182" s="44"/>
      <c r="G182" s="44"/>
      <c r="H182" s="44" t="n">
        <f aca="false">B182+D182+E182+F182+G182+C182</f>
        <v>8</v>
      </c>
      <c r="I182" s="45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7" t="n">
        <f aca="false">J182+K182+L182+M182+N182+O182+P182+Q182+R182+S182+T182+U182</f>
        <v>0</v>
      </c>
      <c r="W182" s="47" t="n">
        <f aca="false">H182-V182</f>
        <v>8</v>
      </c>
      <c r="X182" s="48" t="n">
        <v>4.4</v>
      </c>
      <c r="Y182" s="48" t="n">
        <f aca="false">B182*$X182</f>
        <v>35.2</v>
      </c>
      <c r="Z182" s="48" t="n">
        <f aca="false">C182*$X182</f>
        <v>0</v>
      </c>
      <c r="AA182" s="48" t="n">
        <f aca="false">D182*$X182</f>
        <v>0</v>
      </c>
      <c r="AB182" s="48" t="n">
        <f aca="false">E182*$X182</f>
        <v>0</v>
      </c>
      <c r="AC182" s="48" t="n">
        <f aca="false">F182*$X182</f>
        <v>0</v>
      </c>
      <c r="AD182" s="48" t="n">
        <f aca="false">G182*$X182</f>
        <v>0</v>
      </c>
      <c r="AE182" s="48" t="n">
        <f aca="false">H182*$X182</f>
        <v>35.2</v>
      </c>
      <c r="AF182" s="48" t="n">
        <f aca="false">I182*$X182</f>
        <v>0</v>
      </c>
      <c r="AG182" s="48" t="n">
        <f aca="false">J182*$X182</f>
        <v>0</v>
      </c>
      <c r="AH182" s="48" t="n">
        <f aca="false">K182*$X182</f>
        <v>0</v>
      </c>
      <c r="AI182" s="48" t="n">
        <f aca="false">L182*$X182</f>
        <v>0</v>
      </c>
      <c r="AJ182" s="48" t="n">
        <f aca="false">M182*$X182</f>
        <v>0</v>
      </c>
      <c r="AK182" s="48" t="n">
        <f aca="false">N182*$X182</f>
        <v>0</v>
      </c>
      <c r="AL182" s="48" t="n">
        <f aca="false">O182*$X182</f>
        <v>0</v>
      </c>
      <c r="AM182" s="48" t="n">
        <f aca="false">P182*$X182</f>
        <v>0</v>
      </c>
      <c r="AN182" s="48" t="n">
        <f aca="false">Q182*$X182</f>
        <v>0</v>
      </c>
      <c r="AO182" s="48" t="n">
        <f aca="false">R182*$X182</f>
        <v>0</v>
      </c>
      <c r="AP182" s="48" t="n">
        <f aca="false">S182*$X182</f>
        <v>0</v>
      </c>
      <c r="AQ182" s="48" t="n">
        <f aca="false">T182*$X182</f>
        <v>0</v>
      </c>
      <c r="AR182" s="48" t="n">
        <f aca="false">U182*$X182</f>
        <v>0</v>
      </c>
      <c r="AS182" s="48" t="n">
        <f aca="false">V182*$X182</f>
        <v>0</v>
      </c>
      <c r="AT182" s="48" t="n">
        <f aca="false">W182*$X182</f>
        <v>35.2</v>
      </c>
      <c r="AU182" s="48" t="n">
        <f aca="false">X182*$X182</f>
        <v>19.36</v>
      </c>
      <c r="AV182" s="48" t="n">
        <f aca="false">Y182*$X182</f>
        <v>154.88</v>
      </c>
      <c r="AW182" s="48" t="n">
        <f aca="false">Z182*$X182</f>
        <v>0</v>
      </c>
      <c r="AX182" s="48" t="n">
        <f aca="false">AA182*$X182</f>
        <v>0</v>
      </c>
      <c r="AY182" s="48" t="n">
        <f aca="false">AB182*$X182</f>
        <v>0</v>
      </c>
      <c r="AZ182" s="48" t="n">
        <f aca="false">AC182*$X182</f>
        <v>0</v>
      </c>
      <c r="BA182" s="1"/>
      <c r="BB182" s="1"/>
      <c r="BC182" s="1"/>
      <c r="BD182" s="1"/>
      <c r="BE182" s="1"/>
      <c r="BF182" s="1"/>
    </row>
    <row r="183" s="48" customFormat="true" ht="15" hidden="false" customHeight="true" outlineLevel="0" collapsed="false">
      <c r="A183" s="42" t="s">
        <v>252</v>
      </c>
      <c r="B183" s="42" t="n">
        <v>0</v>
      </c>
      <c r="C183" s="43"/>
      <c r="D183" s="44"/>
      <c r="E183" s="44"/>
      <c r="F183" s="44"/>
      <c r="G183" s="44"/>
      <c r="H183" s="44" t="n">
        <f aca="false">B183+D183+E183+F183+G183+C183</f>
        <v>0</v>
      </c>
      <c r="I183" s="45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7" t="n">
        <f aca="false">J183+K183+L183+M183+N183+O183+P183+Q183+R183+S183+T183+U183</f>
        <v>0</v>
      </c>
      <c r="W183" s="47" t="n">
        <f aca="false">H183-V183</f>
        <v>0</v>
      </c>
      <c r="X183" s="48" t="n">
        <v>18.4</v>
      </c>
      <c r="Y183" s="48" t="n">
        <f aca="false">B183*$X183</f>
        <v>0</v>
      </c>
      <c r="Z183" s="48" t="n">
        <f aca="false">C183*$X183</f>
        <v>0</v>
      </c>
      <c r="AA183" s="48" t="n">
        <f aca="false">D183*$X183</f>
        <v>0</v>
      </c>
      <c r="AB183" s="48" t="n">
        <f aca="false">E183*$X183</f>
        <v>0</v>
      </c>
      <c r="AC183" s="48" t="n">
        <f aca="false">F183*$X183</f>
        <v>0</v>
      </c>
      <c r="AD183" s="48" t="n">
        <f aca="false">G183*$X183</f>
        <v>0</v>
      </c>
      <c r="AE183" s="48" t="n">
        <f aca="false">H183*$X183</f>
        <v>0</v>
      </c>
      <c r="AF183" s="48" t="n">
        <f aca="false">I183*$X183</f>
        <v>0</v>
      </c>
      <c r="AG183" s="48" t="n">
        <f aca="false">J183*$X183</f>
        <v>0</v>
      </c>
      <c r="AH183" s="48" t="n">
        <f aca="false">K183*$X183</f>
        <v>0</v>
      </c>
      <c r="AI183" s="48" t="n">
        <f aca="false">L183*$X183</f>
        <v>0</v>
      </c>
      <c r="AJ183" s="48" t="n">
        <f aca="false">M183*$X183</f>
        <v>0</v>
      </c>
      <c r="AK183" s="48" t="n">
        <f aca="false">N183*$X183</f>
        <v>0</v>
      </c>
      <c r="AL183" s="48" t="n">
        <f aca="false">O183*$X183</f>
        <v>0</v>
      </c>
      <c r="AM183" s="48" t="n">
        <f aca="false">P183*$X183</f>
        <v>0</v>
      </c>
      <c r="AN183" s="48" t="n">
        <f aca="false">Q183*$X183</f>
        <v>0</v>
      </c>
      <c r="AO183" s="48" t="n">
        <f aca="false">R183*$X183</f>
        <v>0</v>
      </c>
      <c r="AP183" s="48" t="n">
        <f aca="false">S183*$X183</f>
        <v>0</v>
      </c>
      <c r="AQ183" s="48" t="n">
        <f aca="false">T183*$X183</f>
        <v>0</v>
      </c>
      <c r="AR183" s="48" t="n">
        <f aca="false">U183*$X183</f>
        <v>0</v>
      </c>
      <c r="AS183" s="48" t="n">
        <f aca="false">V183*$X183</f>
        <v>0</v>
      </c>
      <c r="AT183" s="48" t="n">
        <f aca="false">W183*$X183</f>
        <v>0</v>
      </c>
      <c r="AU183" s="48" t="n">
        <f aca="false">X183*$X183</f>
        <v>338.56</v>
      </c>
      <c r="AV183" s="48" t="n">
        <f aca="false">Y183*$X183</f>
        <v>0</v>
      </c>
      <c r="AW183" s="48" t="n">
        <f aca="false">Z183*$X183</f>
        <v>0</v>
      </c>
      <c r="AX183" s="48" t="n">
        <f aca="false">AA183*$X183</f>
        <v>0</v>
      </c>
      <c r="AY183" s="48" t="n">
        <f aca="false">AB183*$X183</f>
        <v>0</v>
      </c>
      <c r="AZ183" s="48" t="n">
        <f aca="false">AC183*$X183</f>
        <v>0</v>
      </c>
      <c r="BA183" s="1"/>
      <c r="BB183" s="1"/>
      <c r="BC183" s="1"/>
      <c r="BD183" s="1"/>
      <c r="BE183" s="1"/>
      <c r="BF183" s="1"/>
    </row>
    <row r="184" s="48" customFormat="true" ht="15" hidden="false" customHeight="true" outlineLevel="0" collapsed="false">
      <c r="A184" s="42" t="s">
        <v>253</v>
      </c>
      <c r="B184" s="42" t="n">
        <v>0</v>
      </c>
      <c r="C184" s="43"/>
      <c r="D184" s="44"/>
      <c r="E184" s="44"/>
      <c r="F184" s="44"/>
      <c r="G184" s="44"/>
      <c r="H184" s="44" t="n">
        <f aca="false">B184+D184+E184+F184+G184+C184</f>
        <v>0</v>
      </c>
      <c r="I184" s="45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7" t="n">
        <f aca="false">J184+K184+L184+M184+N184+O184+P184+Q184+R184+S184+T184+U184</f>
        <v>0</v>
      </c>
      <c r="W184" s="47" t="n">
        <f aca="false">H184-V184</f>
        <v>0</v>
      </c>
      <c r="X184" s="48" t="n">
        <v>18.4</v>
      </c>
      <c r="Y184" s="48" t="n">
        <f aca="false">B184*$X184</f>
        <v>0</v>
      </c>
      <c r="Z184" s="48" t="n">
        <f aca="false">C184*$X184</f>
        <v>0</v>
      </c>
      <c r="AA184" s="48" t="n">
        <f aca="false">D184*$X184</f>
        <v>0</v>
      </c>
      <c r="AB184" s="48" t="n">
        <f aca="false">E184*$X184</f>
        <v>0</v>
      </c>
      <c r="AC184" s="48" t="n">
        <f aca="false">F184*$X184</f>
        <v>0</v>
      </c>
      <c r="AD184" s="48" t="n">
        <f aca="false">G184*$X184</f>
        <v>0</v>
      </c>
      <c r="AE184" s="48" t="n">
        <f aca="false">H184*$X184</f>
        <v>0</v>
      </c>
      <c r="AF184" s="48" t="n">
        <f aca="false">I184*$X184</f>
        <v>0</v>
      </c>
      <c r="AG184" s="48" t="n">
        <f aca="false">J184*$X184</f>
        <v>0</v>
      </c>
      <c r="AH184" s="48" t="n">
        <f aca="false">K184*$X184</f>
        <v>0</v>
      </c>
      <c r="AI184" s="48" t="n">
        <f aca="false">L184*$X184</f>
        <v>0</v>
      </c>
      <c r="AJ184" s="48" t="n">
        <f aca="false">M184*$X184</f>
        <v>0</v>
      </c>
      <c r="AK184" s="48" t="n">
        <f aca="false">N184*$X184</f>
        <v>0</v>
      </c>
      <c r="AL184" s="48" t="n">
        <f aca="false">O184*$X184</f>
        <v>0</v>
      </c>
      <c r="AM184" s="48" t="n">
        <f aca="false">P184*$X184</f>
        <v>0</v>
      </c>
      <c r="AN184" s="48" t="n">
        <f aca="false">Q184*$X184</f>
        <v>0</v>
      </c>
      <c r="AO184" s="48" t="n">
        <f aca="false">R184*$X184</f>
        <v>0</v>
      </c>
      <c r="AP184" s="48" t="n">
        <f aca="false">S184*$X184</f>
        <v>0</v>
      </c>
      <c r="AQ184" s="48" t="n">
        <f aca="false">T184*$X184</f>
        <v>0</v>
      </c>
      <c r="AR184" s="48" t="n">
        <f aca="false">U184*$X184</f>
        <v>0</v>
      </c>
      <c r="AS184" s="48" t="n">
        <f aca="false">V184*$X184</f>
        <v>0</v>
      </c>
      <c r="AT184" s="48" t="n">
        <f aca="false">W184*$X184</f>
        <v>0</v>
      </c>
      <c r="AU184" s="48" t="n">
        <f aca="false">X184*$X184</f>
        <v>338.56</v>
      </c>
      <c r="AV184" s="48" t="n">
        <f aca="false">Y184*$X184</f>
        <v>0</v>
      </c>
      <c r="AW184" s="48" t="n">
        <f aca="false">Z184*$X184</f>
        <v>0</v>
      </c>
      <c r="AX184" s="48" t="n">
        <f aca="false">AA184*$X184</f>
        <v>0</v>
      </c>
      <c r="AY184" s="48" t="n">
        <f aca="false">AB184*$X184</f>
        <v>0</v>
      </c>
      <c r="AZ184" s="48" t="n">
        <f aca="false">AC184*$X184</f>
        <v>0</v>
      </c>
      <c r="BA184" s="1"/>
      <c r="BB184" s="1"/>
      <c r="BC184" s="1"/>
      <c r="BD184" s="1"/>
      <c r="BE184" s="1"/>
      <c r="BF184" s="1"/>
    </row>
    <row r="185" s="48" customFormat="true" ht="15" hidden="false" customHeight="true" outlineLevel="0" collapsed="false">
      <c r="A185" s="42" t="s">
        <v>254</v>
      </c>
      <c r="B185" s="42" t="n">
        <v>69</v>
      </c>
      <c r="C185" s="43"/>
      <c r="D185" s="44"/>
      <c r="E185" s="44" t="n">
        <v>19</v>
      </c>
      <c r="F185" s="44"/>
      <c r="G185" s="44"/>
      <c r="H185" s="44" t="n">
        <f aca="false">B185+D185+E185+F185+G185+C185</f>
        <v>88</v>
      </c>
      <c r="I185" s="45"/>
      <c r="J185" s="49"/>
      <c r="K185" s="49"/>
      <c r="L185" s="49"/>
      <c r="M185" s="49"/>
      <c r="N185" s="49" t="n">
        <v>54</v>
      </c>
      <c r="O185" s="49"/>
      <c r="P185" s="49"/>
      <c r="Q185" s="49"/>
      <c r="R185" s="49"/>
      <c r="S185" s="49"/>
      <c r="T185" s="49"/>
      <c r="U185" s="49"/>
      <c r="V185" s="47" t="n">
        <f aca="false">J185+K185+L185+M185+N185+O185+P185+Q185+R185+S185+T185+U185</f>
        <v>54</v>
      </c>
      <c r="W185" s="47" t="n">
        <f aca="false">H185-V185</f>
        <v>34</v>
      </c>
      <c r="X185" s="48" t="n">
        <v>2.19</v>
      </c>
      <c r="Y185" s="48" t="n">
        <f aca="false">B185*$X185</f>
        <v>151.11</v>
      </c>
      <c r="Z185" s="48" t="n">
        <f aca="false">C185*$X185</f>
        <v>0</v>
      </c>
      <c r="AA185" s="48" t="n">
        <f aca="false">D185*$X185</f>
        <v>0</v>
      </c>
      <c r="AB185" s="48" t="n">
        <f aca="false">E185*$X185</f>
        <v>41.61</v>
      </c>
      <c r="AC185" s="48" t="n">
        <f aca="false">F185*$X185</f>
        <v>0</v>
      </c>
      <c r="AD185" s="48" t="n">
        <f aca="false">G185*$X185</f>
        <v>0</v>
      </c>
      <c r="AE185" s="48" t="n">
        <f aca="false">H185*$X185</f>
        <v>192.72</v>
      </c>
      <c r="AF185" s="48" t="n">
        <f aca="false">I185*$X185</f>
        <v>0</v>
      </c>
      <c r="AG185" s="48" t="n">
        <f aca="false">J185*$X185</f>
        <v>0</v>
      </c>
      <c r="AH185" s="48" t="n">
        <f aca="false">K185*$X185</f>
        <v>0</v>
      </c>
      <c r="AI185" s="48" t="n">
        <f aca="false">L185*$X185</f>
        <v>0</v>
      </c>
      <c r="AJ185" s="48" t="n">
        <f aca="false">M185*$X185</f>
        <v>0</v>
      </c>
      <c r="AK185" s="48" t="n">
        <f aca="false">N185*$X185</f>
        <v>118.26</v>
      </c>
      <c r="AL185" s="48" t="n">
        <f aca="false">O185*$X185</f>
        <v>0</v>
      </c>
      <c r="AM185" s="48" t="n">
        <f aca="false">P185*$X185</f>
        <v>0</v>
      </c>
      <c r="AN185" s="48" t="n">
        <f aca="false">Q185*$X185</f>
        <v>0</v>
      </c>
      <c r="AO185" s="48" t="n">
        <f aca="false">R185*$X185</f>
        <v>0</v>
      </c>
      <c r="AP185" s="48" t="n">
        <f aca="false">S185*$X185</f>
        <v>0</v>
      </c>
      <c r="AQ185" s="48" t="n">
        <f aca="false">T185*$X185</f>
        <v>0</v>
      </c>
      <c r="AR185" s="48" t="n">
        <f aca="false">U185*$X185</f>
        <v>0</v>
      </c>
      <c r="AS185" s="48" t="n">
        <f aca="false">V185*$X185</f>
        <v>118.26</v>
      </c>
      <c r="AT185" s="48" t="n">
        <f aca="false">W185*$X185</f>
        <v>74.46</v>
      </c>
      <c r="AU185" s="48" t="n">
        <f aca="false">X185*$X185</f>
        <v>4.7961</v>
      </c>
      <c r="AV185" s="48" t="n">
        <f aca="false">Y185*$X185</f>
        <v>330.9309</v>
      </c>
      <c r="AW185" s="48" t="n">
        <f aca="false">Z185*$X185</f>
        <v>0</v>
      </c>
      <c r="AX185" s="48" t="n">
        <f aca="false">AA185*$X185</f>
        <v>0</v>
      </c>
      <c r="AY185" s="48" t="n">
        <f aca="false">AB185*$X185</f>
        <v>91.1259</v>
      </c>
      <c r="AZ185" s="48" t="n">
        <f aca="false">AC185*$X185</f>
        <v>0</v>
      </c>
      <c r="BA185" s="1"/>
      <c r="BB185" s="1"/>
      <c r="BC185" s="1"/>
      <c r="BD185" s="1"/>
      <c r="BE185" s="1"/>
      <c r="BF185" s="1"/>
    </row>
    <row r="186" s="48" customFormat="true" ht="15" hidden="false" customHeight="true" outlineLevel="0" collapsed="false">
      <c r="A186" s="42" t="s">
        <v>255</v>
      </c>
      <c r="B186" s="42" t="n">
        <v>0</v>
      </c>
      <c r="C186" s="43"/>
      <c r="D186" s="44"/>
      <c r="E186" s="44"/>
      <c r="F186" s="44" t="n">
        <v>5</v>
      </c>
      <c r="G186" s="44"/>
      <c r="H186" s="44" t="n">
        <f aca="false">B186+D186+E186+F186+G186+C186</f>
        <v>5</v>
      </c>
      <c r="I186" s="45"/>
      <c r="J186" s="49"/>
      <c r="K186" s="49"/>
      <c r="L186" s="49"/>
      <c r="M186" s="49"/>
      <c r="N186" s="49"/>
      <c r="O186" s="49" t="n">
        <v>10</v>
      </c>
      <c r="P186" s="49"/>
      <c r="Q186" s="49"/>
      <c r="R186" s="49"/>
      <c r="S186" s="49"/>
      <c r="T186" s="49"/>
      <c r="U186" s="49"/>
      <c r="V186" s="47" t="n">
        <f aca="false">J186+K186+L186+M186+N186+O186+P186+Q186+R186+S186+T186+U186</f>
        <v>10</v>
      </c>
      <c r="W186" s="47" t="n">
        <f aca="false">H186-V186</f>
        <v>-5</v>
      </c>
      <c r="X186" s="48" t="n">
        <v>3.07</v>
      </c>
      <c r="Y186" s="48" t="n">
        <f aca="false">B186*$X186</f>
        <v>0</v>
      </c>
      <c r="Z186" s="48" t="n">
        <f aca="false">C186*$X186</f>
        <v>0</v>
      </c>
      <c r="AA186" s="48" t="n">
        <f aca="false">D186*$X186</f>
        <v>0</v>
      </c>
      <c r="AB186" s="48" t="n">
        <f aca="false">E186*$X186</f>
        <v>0</v>
      </c>
      <c r="AC186" s="48" t="n">
        <f aca="false">F186*$X186</f>
        <v>15.35</v>
      </c>
      <c r="AD186" s="48" t="n">
        <f aca="false">G186*$X186</f>
        <v>0</v>
      </c>
      <c r="AE186" s="48" t="n">
        <f aca="false">H186*$X186</f>
        <v>15.35</v>
      </c>
      <c r="AF186" s="48" t="n">
        <f aca="false">I186*$X186</f>
        <v>0</v>
      </c>
      <c r="AG186" s="48" t="n">
        <f aca="false">J186*$X186</f>
        <v>0</v>
      </c>
      <c r="AH186" s="48" t="n">
        <f aca="false">K186*$X186</f>
        <v>0</v>
      </c>
      <c r="AI186" s="48" t="n">
        <f aca="false">L186*$X186</f>
        <v>0</v>
      </c>
      <c r="AJ186" s="48" t="n">
        <f aca="false">M186*$X186</f>
        <v>0</v>
      </c>
      <c r="AK186" s="48" t="n">
        <f aca="false">N186*$X186</f>
        <v>0</v>
      </c>
      <c r="AL186" s="48" t="n">
        <f aca="false">O186*$X186</f>
        <v>30.7</v>
      </c>
      <c r="AM186" s="48" t="n">
        <f aca="false">P186*$X186</f>
        <v>0</v>
      </c>
      <c r="AN186" s="48" t="n">
        <f aca="false">Q186*$X186</f>
        <v>0</v>
      </c>
      <c r="AO186" s="48" t="n">
        <f aca="false">R186*$X186</f>
        <v>0</v>
      </c>
      <c r="AP186" s="48" t="n">
        <f aca="false">S186*$X186</f>
        <v>0</v>
      </c>
      <c r="AQ186" s="48" t="n">
        <f aca="false">T186*$X186</f>
        <v>0</v>
      </c>
      <c r="AR186" s="48" t="n">
        <f aca="false">U186*$X186</f>
        <v>0</v>
      </c>
      <c r="AS186" s="48" t="n">
        <f aca="false">V186*$X186</f>
        <v>30.7</v>
      </c>
      <c r="AT186" s="48" t="n">
        <f aca="false">W186*$X186</f>
        <v>-15.35</v>
      </c>
      <c r="AU186" s="48" t="n">
        <f aca="false">X186*$X186</f>
        <v>9.4249</v>
      </c>
      <c r="AV186" s="48" t="n">
        <f aca="false">Y186*$X186</f>
        <v>0</v>
      </c>
      <c r="AW186" s="48" t="n">
        <f aca="false">Z186*$X186</f>
        <v>0</v>
      </c>
      <c r="AX186" s="48" t="n">
        <f aca="false">AA186*$X186</f>
        <v>0</v>
      </c>
      <c r="AY186" s="48" t="n">
        <f aca="false">AB186*$X186</f>
        <v>0</v>
      </c>
      <c r="AZ186" s="48" t="n">
        <f aca="false">AC186*$X186</f>
        <v>47.1245</v>
      </c>
      <c r="BA186" s="1"/>
      <c r="BB186" s="1"/>
      <c r="BC186" s="1"/>
      <c r="BD186" s="1"/>
      <c r="BE186" s="1"/>
      <c r="BF186" s="1"/>
    </row>
    <row r="187" s="48" customFormat="true" ht="15" hidden="false" customHeight="true" outlineLevel="0" collapsed="false">
      <c r="A187" s="42" t="s">
        <v>256</v>
      </c>
      <c r="B187" s="42" t="n">
        <v>0</v>
      </c>
      <c r="C187" s="43"/>
      <c r="D187" s="44"/>
      <c r="E187" s="44"/>
      <c r="F187" s="44"/>
      <c r="G187" s="44"/>
      <c r="H187" s="44" t="n">
        <f aca="false">B187+D187+E187+F187+G187+C187</f>
        <v>0</v>
      </c>
      <c r="I187" s="45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7" t="n">
        <f aca="false">J187+K187+L187+M187+N187+O187+P187+Q187+R187+S187+T187+U187</f>
        <v>0</v>
      </c>
      <c r="W187" s="47" t="n">
        <f aca="false">H187-V187</f>
        <v>0</v>
      </c>
      <c r="X187" s="48" t="n">
        <v>4.68</v>
      </c>
      <c r="Y187" s="48" t="n">
        <f aca="false">B187*$X187</f>
        <v>0</v>
      </c>
      <c r="Z187" s="48" t="n">
        <f aca="false">C187*$X187</f>
        <v>0</v>
      </c>
      <c r="AA187" s="48" t="n">
        <f aca="false">D187*$X187</f>
        <v>0</v>
      </c>
      <c r="AB187" s="48" t="n">
        <f aca="false">E187*$X187</f>
        <v>0</v>
      </c>
      <c r="AC187" s="48" t="n">
        <f aca="false">F187*$X187</f>
        <v>0</v>
      </c>
      <c r="AD187" s="48" t="n">
        <f aca="false">G187*$X187</f>
        <v>0</v>
      </c>
      <c r="AE187" s="48" t="n">
        <f aca="false">H187*$X187</f>
        <v>0</v>
      </c>
      <c r="AF187" s="48" t="n">
        <f aca="false">I187*$X187</f>
        <v>0</v>
      </c>
      <c r="AG187" s="48" t="n">
        <f aca="false">J187*$X187</f>
        <v>0</v>
      </c>
      <c r="AH187" s="48" t="n">
        <f aca="false">K187*$X187</f>
        <v>0</v>
      </c>
      <c r="AI187" s="48" t="n">
        <f aca="false">L187*$X187</f>
        <v>0</v>
      </c>
      <c r="AJ187" s="48" t="n">
        <f aca="false">M187*$X187</f>
        <v>0</v>
      </c>
      <c r="AK187" s="48" t="n">
        <f aca="false">N187*$X187</f>
        <v>0</v>
      </c>
      <c r="AL187" s="48" t="n">
        <f aca="false">O187*$X187</f>
        <v>0</v>
      </c>
      <c r="AM187" s="48" t="n">
        <f aca="false">P187*$X187</f>
        <v>0</v>
      </c>
      <c r="AN187" s="48" t="n">
        <f aca="false">Q187*$X187</f>
        <v>0</v>
      </c>
      <c r="AO187" s="48" t="n">
        <f aca="false">R187*$X187</f>
        <v>0</v>
      </c>
      <c r="AP187" s="48" t="n">
        <f aca="false">S187*$X187</f>
        <v>0</v>
      </c>
      <c r="AQ187" s="48" t="n">
        <f aca="false">T187*$X187</f>
        <v>0</v>
      </c>
      <c r="AR187" s="48" t="n">
        <f aca="false">U187*$X187</f>
        <v>0</v>
      </c>
      <c r="AS187" s="48" t="n">
        <f aca="false">V187*$X187</f>
        <v>0</v>
      </c>
      <c r="AT187" s="48" t="n">
        <f aca="false">W187*$X187</f>
        <v>0</v>
      </c>
      <c r="AU187" s="48" t="n">
        <f aca="false">X187*$X187</f>
        <v>21.9024</v>
      </c>
      <c r="AV187" s="48" t="n">
        <f aca="false">Y187*$X187</f>
        <v>0</v>
      </c>
      <c r="AW187" s="48" t="n">
        <f aca="false">Z187*$X187</f>
        <v>0</v>
      </c>
      <c r="AX187" s="48" t="n">
        <f aca="false">AA187*$X187</f>
        <v>0</v>
      </c>
      <c r="AY187" s="48" t="n">
        <f aca="false">AB187*$X187</f>
        <v>0</v>
      </c>
      <c r="AZ187" s="48" t="n">
        <f aca="false">AC187*$X187</f>
        <v>0</v>
      </c>
      <c r="BA187" s="1"/>
      <c r="BB187" s="1"/>
      <c r="BC187" s="1"/>
      <c r="BD187" s="1"/>
      <c r="BE187" s="1"/>
      <c r="BF187" s="1"/>
    </row>
    <row r="188" s="48" customFormat="true" ht="15" hidden="false" customHeight="true" outlineLevel="0" collapsed="false">
      <c r="A188" s="42" t="s">
        <v>257</v>
      </c>
      <c r="B188" s="42" t="n">
        <v>0</v>
      </c>
      <c r="C188" s="43"/>
      <c r="D188" s="44"/>
      <c r="E188" s="44"/>
      <c r="F188" s="44"/>
      <c r="G188" s="44"/>
      <c r="H188" s="44" t="n">
        <f aca="false">B188+D188+E188+F188+G188+C188</f>
        <v>0</v>
      </c>
      <c r="I188" s="45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7" t="n">
        <f aca="false">J188+K188+L188+M188+N188+O188+P188+Q188+R188+S188+T188+U188</f>
        <v>0</v>
      </c>
      <c r="W188" s="47" t="n">
        <f aca="false">H188-V188</f>
        <v>0</v>
      </c>
      <c r="X188" s="48" t="n">
        <v>3.44</v>
      </c>
      <c r="Y188" s="48" t="n">
        <f aca="false">B188*$X188</f>
        <v>0</v>
      </c>
      <c r="Z188" s="48" t="n">
        <f aca="false">C188*$X188</f>
        <v>0</v>
      </c>
      <c r="AA188" s="48" t="n">
        <f aca="false">D188*$X188</f>
        <v>0</v>
      </c>
      <c r="AB188" s="48" t="n">
        <f aca="false">E188*$X188</f>
        <v>0</v>
      </c>
      <c r="AC188" s="48" t="n">
        <f aca="false">F188*$X188</f>
        <v>0</v>
      </c>
      <c r="AD188" s="48" t="n">
        <f aca="false">G188*$X188</f>
        <v>0</v>
      </c>
      <c r="AE188" s="48" t="n">
        <f aca="false">H188*$X188</f>
        <v>0</v>
      </c>
      <c r="AF188" s="48" t="n">
        <f aca="false">I188*$X188</f>
        <v>0</v>
      </c>
      <c r="AG188" s="48" t="n">
        <f aca="false">J188*$X188</f>
        <v>0</v>
      </c>
      <c r="AH188" s="48" t="n">
        <f aca="false">K188*$X188</f>
        <v>0</v>
      </c>
      <c r="AI188" s="48" t="n">
        <f aca="false">L188*$X188</f>
        <v>0</v>
      </c>
      <c r="AJ188" s="48" t="n">
        <f aca="false">M188*$X188</f>
        <v>0</v>
      </c>
      <c r="AK188" s="48" t="n">
        <f aca="false">N188*$X188</f>
        <v>0</v>
      </c>
      <c r="AL188" s="48" t="n">
        <f aca="false">O188*$X188</f>
        <v>0</v>
      </c>
      <c r="AM188" s="48" t="n">
        <f aca="false">P188*$X188</f>
        <v>0</v>
      </c>
      <c r="AN188" s="48" t="n">
        <f aca="false">Q188*$X188</f>
        <v>0</v>
      </c>
      <c r="AO188" s="48" t="n">
        <f aca="false">R188*$X188</f>
        <v>0</v>
      </c>
      <c r="AP188" s="48" t="n">
        <f aca="false">S188*$X188</f>
        <v>0</v>
      </c>
      <c r="AQ188" s="48" t="n">
        <f aca="false">T188*$X188</f>
        <v>0</v>
      </c>
      <c r="AR188" s="48" t="n">
        <f aca="false">U188*$X188</f>
        <v>0</v>
      </c>
      <c r="AS188" s="48" t="n">
        <f aca="false">V188*$X188</f>
        <v>0</v>
      </c>
      <c r="AT188" s="48" t="n">
        <f aca="false">W188*$X188</f>
        <v>0</v>
      </c>
      <c r="AU188" s="48" t="n">
        <f aca="false">X188*$X188</f>
        <v>11.8336</v>
      </c>
      <c r="AV188" s="48" t="n">
        <f aca="false">Y188*$X188</f>
        <v>0</v>
      </c>
      <c r="AW188" s="48" t="n">
        <f aca="false">Z188*$X188</f>
        <v>0</v>
      </c>
      <c r="AX188" s="48" t="n">
        <f aca="false">AA188*$X188</f>
        <v>0</v>
      </c>
      <c r="AY188" s="48" t="n">
        <f aca="false">AB188*$X188</f>
        <v>0</v>
      </c>
      <c r="AZ188" s="48" t="n">
        <f aca="false">AC188*$X188</f>
        <v>0</v>
      </c>
      <c r="BA188" s="1"/>
      <c r="BB188" s="1"/>
      <c r="BC188" s="1"/>
      <c r="BD188" s="1"/>
      <c r="BE188" s="1"/>
      <c r="BF188" s="1"/>
    </row>
    <row r="189" s="48" customFormat="true" ht="15" hidden="false" customHeight="true" outlineLevel="0" collapsed="false">
      <c r="A189" s="42" t="s">
        <v>258</v>
      </c>
      <c r="B189" s="42" t="n">
        <v>0</v>
      </c>
      <c r="C189" s="43"/>
      <c r="D189" s="44" t="n">
        <v>42</v>
      </c>
      <c r="E189" s="44" t="n">
        <v>36</v>
      </c>
      <c r="F189" s="44"/>
      <c r="G189" s="44"/>
      <c r="H189" s="44" t="n">
        <f aca="false">B189+D189+E189+F189+G189+C189</f>
        <v>78</v>
      </c>
      <c r="I189" s="45"/>
      <c r="J189" s="49" t="n">
        <v>90</v>
      </c>
      <c r="K189" s="49"/>
      <c r="L189" s="49" t="n">
        <v>22</v>
      </c>
      <c r="M189" s="49"/>
      <c r="N189" s="49"/>
      <c r="O189" s="49"/>
      <c r="P189" s="49"/>
      <c r="Q189" s="49"/>
      <c r="R189" s="49"/>
      <c r="S189" s="49"/>
      <c r="T189" s="49"/>
      <c r="U189" s="49"/>
      <c r="V189" s="47" t="n">
        <f aca="false">J189+K189+L189+M189+N189+O189+P189+Q189+R189+S189+T189+U189</f>
        <v>112</v>
      </c>
      <c r="W189" s="47" t="n">
        <f aca="false">H189-V189</f>
        <v>-34</v>
      </c>
      <c r="X189" s="48" t="n">
        <v>4.3</v>
      </c>
      <c r="Y189" s="48" t="n">
        <f aca="false">B189*$X189</f>
        <v>0</v>
      </c>
      <c r="Z189" s="48" t="n">
        <f aca="false">C189*$X189</f>
        <v>0</v>
      </c>
      <c r="AA189" s="48" t="n">
        <f aca="false">D189*$X189</f>
        <v>180.6</v>
      </c>
      <c r="AB189" s="48" t="n">
        <f aca="false">E189*$X189</f>
        <v>154.8</v>
      </c>
      <c r="AC189" s="48" t="n">
        <f aca="false">F189*$X189</f>
        <v>0</v>
      </c>
      <c r="AD189" s="48" t="n">
        <f aca="false">G189*$X189</f>
        <v>0</v>
      </c>
      <c r="AE189" s="48" t="n">
        <f aca="false">H189*$X189</f>
        <v>335.4</v>
      </c>
      <c r="AF189" s="48" t="n">
        <f aca="false">I189*$X189</f>
        <v>0</v>
      </c>
      <c r="AG189" s="48" t="n">
        <f aca="false">J189*$X189</f>
        <v>387</v>
      </c>
      <c r="AH189" s="48" t="n">
        <f aca="false">K189*$X189</f>
        <v>0</v>
      </c>
      <c r="AI189" s="48" t="n">
        <f aca="false">L189*$X189</f>
        <v>94.6</v>
      </c>
      <c r="AJ189" s="48" t="n">
        <f aca="false">M189*$X189</f>
        <v>0</v>
      </c>
      <c r="AK189" s="48" t="n">
        <f aca="false">N189*$X189</f>
        <v>0</v>
      </c>
      <c r="AL189" s="48" t="n">
        <f aca="false">O189*$X189</f>
        <v>0</v>
      </c>
      <c r="AM189" s="48" t="n">
        <f aca="false">P189*$X189</f>
        <v>0</v>
      </c>
      <c r="AN189" s="48" t="n">
        <f aca="false">Q189*$X189</f>
        <v>0</v>
      </c>
      <c r="AO189" s="48" t="n">
        <f aca="false">R189*$X189</f>
        <v>0</v>
      </c>
      <c r="AP189" s="48" t="n">
        <f aca="false">S189*$X189</f>
        <v>0</v>
      </c>
      <c r="AQ189" s="48" t="n">
        <f aca="false">T189*$X189</f>
        <v>0</v>
      </c>
      <c r="AR189" s="48" t="n">
        <f aca="false">U189*$X189</f>
        <v>0</v>
      </c>
      <c r="AS189" s="48" t="n">
        <f aca="false">V189*$X189</f>
        <v>481.6</v>
      </c>
      <c r="AT189" s="48" t="n">
        <f aca="false">W189*$X189</f>
        <v>-146.2</v>
      </c>
      <c r="AU189" s="48" t="n">
        <f aca="false">X189*$X189</f>
        <v>18.49</v>
      </c>
      <c r="AV189" s="48" t="n">
        <f aca="false">Y189*$X189</f>
        <v>0</v>
      </c>
      <c r="AW189" s="48" t="n">
        <f aca="false">Z189*$X189</f>
        <v>0</v>
      </c>
      <c r="AX189" s="48" t="n">
        <f aca="false">AA189*$X189</f>
        <v>776.58</v>
      </c>
      <c r="AY189" s="48" t="n">
        <f aca="false">AB189*$X189</f>
        <v>665.64</v>
      </c>
      <c r="AZ189" s="48" t="n">
        <f aca="false">AC189*$X189</f>
        <v>0</v>
      </c>
      <c r="BA189" s="1"/>
      <c r="BB189" s="1"/>
      <c r="BC189" s="1"/>
      <c r="BD189" s="1"/>
      <c r="BE189" s="1"/>
      <c r="BF189" s="1"/>
    </row>
    <row r="190" s="48" customFormat="true" ht="15" hidden="false" customHeight="true" outlineLevel="0" collapsed="false">
      <c r="A190" s="42" t="s">
        <v>259</v>
      </c>
      <c r="B190" s="42" t="n">
        <v>0</v>
      </c>
      <c r="C190" s="43"/>
      <c r="D190" s="44" t="n">
        <v>306</v>
      </c>
      <c r="E190" s="44"/>
      <c r="F190" s="44"/>
      <c r="G190" s="44"/>
      <c r="H190" s="44" t="n">
        <f aca="false">B190+D190+E190+F190+G190+C190</f>
        <v>306</v>
      </c>
      <c r="I190" s="45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7" t="n">
        <f aca="false">J190+K190+L190+M190+N190+O190+P190+Q190+R190+S190+T190+U190</f>
        <v>0</v>
      </c>
      <c r="W190" s="47" t="n">
        <f aca="false">H190-V190</f>
        <v>306</v>
      </c>
      <c r="X190" s="48" t="n">
        <v>5.16</v>
      </c>
      <c r="Y190" s="48" t="n">
        <f aca="false">B190*$X190</f>
        <v>0</v>
      </c>
      <c r="Z190" s="48" t="n">
        <f aca="false">C190*$X190</f>
        <v>0</v>
      </c>
      <c r="AA190" s="48" t="n">
        <f aca="false">D190*$X190</f>
        <v>1578.96</v>
      </c>
      <c r="AB190" s="48" t="n">
        <f aca="false">E190*$X190</f>
        <v>0</v>
      </c>
      <c r="AC190" s="48" t="n">
        <f aca="false">F190*$X190</f>
        <v>0</v>
      </c>
      <c r="AD190" s="48" t="n">
        <f aca="false">G190*$X190</f>
        <v>0</v>
      </c>
      <c r="AE190" s="48" t="n">
        <f aca="false">H190*$X190</f>
        <v>1578.96</v>
      </c>
      <c r="AF190" s="48" t="n">
        <f aca="false">I190*$X190</f>
        <v>0</v>
      </c>
      <c r="AG190" s="48" t="n">
        <f aca="false">J190*$X190</f>
        <v>0</v>
      </c>
      <c r="AH190" s="48" t="n">
        <f aca="false">K190*$X190</f>
        <v>0</v>
      </c>
      <c r="AI190" s="48" t="n">
        <f aca="false">L190*$X190</f>
        <v>0</v>
      </c>
      <c r="AJ190" s="48" t="n">
        <f aca="false">M190*$X190</f>
        <v>0</v>
      </c>
      <c r="AK190" s="48" t="n">
        <f aca="false">N190*$X190</f>
        <v>0</v>
      </c>
      <c r="AL190" s="48" t="n">
        <f aca="false">O190*$X190</f>
        <v>0</v>
      </c>
      <c r="AM190" s="48" t="n">
        <f aca="false">P190*$X190</f>
        <v>0</v>
      </c>
      <c r="AN190" s="48" t="n">
        <f aca="false">Q190*$X190</f>
        <v>0</v>
      </c>
      <c r="AO190" s="48" t="n">
        <f aca="false">R190*$X190</f>
        <v>0</v>
      </c>
      <c r="AP190" s="48" t="n">
        <f aca="false">S190*$X190</f>
        <v>0</v>
      </c>
      <c r="AQ190" s="48" t="n">
        <f aca="false">T190*$X190</f>
        <v>0</v>
      </c>
      <c r="AR190" s="48" t="n">
        <f aca="false">U190*$X190</f>
        <v>0</v>
      </c>
      <c r="AS190" s="48" t="n">
        <f aca="false">V190*$X190</f>
        <v>0</v>
      </c>
      <c r="AT190" s="48" t="n">
        <f aca="false">W190*$X190</f>
        <v>1578.96</v>
      </c>
      <c r="AU190" s="48" t="n">
        <f aca="false">X190*$X190</f>
        <v>26.6256</v>
      </c>
      <c r="AV190" s="48" t="n">
        <f aca="false">Y190*$X190</f>
        <v>0</v>
      </c>
      <c r="AW190" s="48" t="n">
        <f aca="false">Z190*$X190</f>
        <v>0</v>
      </c>
      <c r="AX190" s="48" t="n">
        <f aca="false">AA190*$X190</f>
        <v>8147.4336</v>
      </c>
      <c r="AY190" s="48" t="n">
        <f aca="false">AB190*$X190</f>
        <v>0</v>
      </c>
      <c r="AZ190" s="48" t="n">
        <f aca="false">AC190*$X190</f>
        <v>0</v>
      </c>
      <c r="BA190" s="1"/>
      <c r="BB190" s="1"/>
      <c r="BC190" s="1"/>
      <c r="BD190" s="1"/>
      <c r="BE190" s="1"/>
      <c r="BF190" s="1"/>
    </row>
    <row r="191" s="48" customFormat="true" ht="15" hidden="false" customHeight="true" outlineLevel="0" collapsed="false">
      <c r="A191" s="42" t="s">
        <v>260</v>
      </c>
      <c r="B191" s="42" t="n">
        <v>0</v>
      </c>
      <c r="C191" s="43"/>
      <c r="D191" s="44" t="n">
        <v>96</v>
      </c>
      <c r="E191" s="44" t="n">
        <v>48</v>
      </c>
      <c r="F191" s="44"/>
      <c r="G191" s="44"/>
      <c r="H191" s="44" t="n">
        <f aca="false">B191+D191+E191+F191+G191+C191</f>
        <v>144</v>
      </c>
      <c r="I191" s="45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7" t="n">
        <f aca="false">J191+K191+L191+M191+N191+O191+P191+Q191+R191+S191+T191+U191</f>
        <v>0</v>
      </c>
      <c r="W191" s="47" t="n">
        <f aca="false">H191-V191</f>
        <v>144</v>
      </c>
      <c r="X191" s="48" t="n">
        <v>7.31</v>
      </c>
      <c r="Y191" s="48" t="n">
        <f aca="false">B191*$X191</f>
        <v>0</v>
      </c>
      <c r="Z191" s="48" t="n">
        <f aca="false">C191*$X191</f>
        <v>0</v>
      </c>
      <c r="AA191" s="48" t="n">
        <f aca="false">D191*$X191</f>
        <v>701.76</v>
      </c>
      <c r="AB191" s="48" t="n">
        <f aca="false">E191*$X191</f>
        <v>350.88</v>
      </c>
      <c r="AC191" s="48" t="n">
        <f aca="false">F191*$X191</f>
        <v>0</v>
      </c>
      <c r="AD191" s="48" t="n">
        <f aca="false">G191*$X191</f>
        <v>0</v>
      </c>
      <c r="AE191" s="48" t="n">
        <f aca="false">H191*$X191</f>
        <v>1052.64</v>
      </c>
      <c r="AF191" s="48" t="n">
        <f aca="false">I191*$X191</f>
        <v>0</v>
      </c>
      <c r="AG191" s="48" t="n">
        <f aca="false">J191*$X191</f>
        <v>0</v>
      </c>
      <c r="AH191" s="48" t="n">
        <f aca="false">K191*$X191</f>
        <v>0</v>
      </c>
      <c r="AI191" s="48" t="n">
        <f aca="false">L191*$X191</f>
        <v>0</v>
      </c>
      <c r="AJ191" s="48" t="n">
        <f aca="false">M191*$X191</f>
        <v>0</v>
      </c>
      <c r="AK191" s="48" t="n">
        <f aca="false">N191*$X191</f>
        <v>0</v>
      </c>
      <c r="AL191" s="48" t="n">
        <f aca="false">O191*$X191</f>
        <v>0</v>
      </c>
      <c r="AM191" s="48" t="n">
        <f aca="false">P191*$X191</f>
        <v>0</v>
      </c>
      <c r="AN191" s="48" t="n">
        <f aca="false">Q191*$X191</f>
        <v>0</v>
      </c>
      <c r="AO191" s="48" t="n">
        <f aca="false">R191*$X191</f>
        <v>0</v>
      </c>
      <c r="AP191" s="48" t="n">
        <f aca="false">S191*$X191</f>
        <v>0</v>
      </c>
      <c r="AQ191" s="48" t="n">
        <f aca="false">T191*$X191</f>
        <v>0</v>
      </c>
      <c r="AR191" s="48" t="n">
        <f aca="false">U191*$X191</f>
        <v>0</v>
      </c>
      <c r="AS191" s="48" t="n">
        <f aca="false">V191*$X191</f>
        <v>0</v>
      </c>
      <c r="AT191" s="48" t="n">
        <f aca="false">W191*$X191</f>
        <v>1052.64</v>
      </c>
      <c r="AU191" s="48" t="n">
        <f aca="false">X191*$X191</f>
        <v>53.4361</v>
      </c>
      <c r="AV191" s="48" t="n">
        <f aca="false">Y191*$X191</f>
        <v>0</v>
      </c>
      <c r="AW191" s="48" t="n">
        <f aca="false">Z191*$X191</f>
        <v>0</v>
      </c>
      <c r="AX191" s="48" t="n">
        <f aca="false">AA191*$X191</f>
        <v>5129.8656</v>
      </c>
      <c r="AY191" s="48" t="n">
        <f aca="false">AB191*$X191</f>
        <v>2564.9328</v>
      </c>
      <c r="AZ191" s="48" t="n">
        <f aca="false">AC191*$X191</f>
        <v>0</v>
      </c>
      <c r="BA191" s="1"/>
      <c r="BB191" s="1"/>
      <c r="BC191" s="1"/>
      <c r="BD191" s="1"/>
      <c r="BE191" s="1"/>
      <c r="BF191" s="1"/>
    </row>
    <row r="192" s="48" customFormat="true" ht="15" hidden="false" customHeight="true" outlineLevel="0" collapsed="false">
      <c r="A192" s="42" t="s">
        <v>261</v>
      </c>
      <c r="B192" s="42" t="n">
        <v>0</v>
      </c>
      <c r="C192" s="43"/>
      <c r="D192" s="44"/>
      <c r="E192" s="44"/>
      <c r="F192" s="44"/>
      <c r="G192" s="44"/>
      <c r="H192" s="44" t="n">
        <f aca="false">B192+D192+E192+F192+G192+C192</f>
        <v>0</v>
      </c>
      <c r="I192" s="45"/>
      <c r="J192" s="49" t="n">
        <v>28</v>
      </c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7" t="n">
        <f aca="false">J192+K192+L192+M192+N192+O192+P192+Q192+R192+S192+T192+U192</f>
        <v>28</v>
      </c>
      <c r="W192" s="47" t="n">
        <f aca="false">H192-V192</f>
        <v>-28</v>
      </c>
      <c r="X192" s="48" t="n">
        <v>9.46</v>
      </c>
      <c r="Y192" s="48" t="n">
        <f aca="false">B192*$X192</f>
        <v>0</v>
      </c>
      <c r="Z192" s="48" t="n">
        <f aca="false">C192*$X192</f>
        <v>0</v>
      </c>
      <c r="AA192" s="48" t="n">
        <f aca="false">D192*$X192</f>
        <v>0</v>
      </c>
      <c r="AB192" s="48" t="n">
        <f aca="false">E192*$X192</f>
        <v>0</v>
      </c>
      <c r="AC192" s="48" t="n">
        <f aca="false">F192*$X192</f>
        <v>0</v>
      </c>
      <c r="AD192" s="48" t="n">
        <f aca="false">G192*$X192</f>
        <v>0</v>
      </c>
      <c r="AE192" s="48" t="n">
        <f aca="false">H192*$X192</f>
        <v>0</v>
      </c>
      <c r="AF192" s="48" t="n">
        <f aca="false">I192*$X192</f>
        <v>0</v>
      </c>
      <c r="AG192" s="48" t="n">
        <f aca="false">J192*$X192</f>
        <v>264.88</v>
      </c>
      <c r="AH192" s="48" t="n">
        <f aca="false">K192*$X192</f>
        <v>0</v>
      </c>
      <c r="AI192" s="48" t="n">
        <f aca="false">L192*$X192</f>
        <v>0</v>
      </c>
      <c r="AJ192" s="48" t="n">
        <f aca="false">M192*$X192</f>
        <v>0</v>
      </c>
      <c r="AK192" s="48" t="n">
        <f aca="false">N192*$X192</f>
        <v>0</v>
      </c>
      <c r="AL192" s="48" t="n">
        <f aca="false">O192*$X192</f>
        <v>0</v>
      </c>
      <c r="AM192" s="48" t="n">
        <f aca="false">P192*$X192</f>
        <v>0</v>
      </c>
      <c r="AN192" s="48" t="n">
        <f aca="false">Q192*$X192</f>
        <v>0</v>
      </c>
      <c r="AO192" s="48" t="n">
        <f aca="false">R192*$X192</f>
        <v>0</v>
      </c>
      <c r="AP192" s="48" t="n">
        <f aca="false">S192*$X192</f>
        <v>0</v>
      </c>
      <c r="AQ192" s="48" t="n">
        <f aca="false">T192*$X192</f>
        <v>0</v>
      </c>
      <c r="AR192" s="48" t="n">
        <f aca="false">U192*$X192</f>
        <v>0</v>
      </c>
      <c r="AS192" s="48" t="n">
        <f aca="false">V192*$X192</f>
        <v>264.88</v>
      </c>
      <c r="AT192" s="48" t="n">
        <f aca="false">W192*$X192</f>
        <v>-264.88</v>
      </c>
      <c r="AU192" s="48" t="n">
        <f aca="false">X192*$X192</f>
        <v>89.4916</v>
      </c>
      <c r="AV192" s="48" t="n">
        <f aca="false">Y192*$X192</f>
        <v>0</v>
      </c>
      <c r="AW192" s="48" t="n">
        <f aca="false">Z192*$X192</f>
        <v>0</v>
      </c>
      <c r="AX192" s="48" t="n">
        <f aca="false">AA192*$X192</f>
        <v>0</v>
      </c>
      <c r="AY192" s="48" t="n">
        <f aca="false">AB192*$X192</f>
        <v>0</v>
      </c>
      <c r="AZ192" s="48" t="n">
        <f aca="false">AC192*$X192</f>
        <v>0</v>
      </c>
      <c r="BA192" s="1"/>
      <c r="BB192" s="1"/>
      <c r="BC192" s="1"/>
      <c r="BD192" s="1"/>
      <c r="BE192" s="1"/>
      <c r="BF192" s="1"/>
    </row>
    <row r="193" s="48" customFormat="true" ht="15" hidden="false" customHeight="true" outlineLevel="0" collapsed="false">
      <c r="A193" s="42" t="s">
        <v>262</v>
      </c>
      <c r="B193" s="42" t="n">
        <v>0</v>
      </c>
      <c r="C193" s="43"/>
      <c r="D193" s="44"/>
      <c r="E193" s="44"/>
      <c r="F193" s="44"/>
      <c r="G193" s="44"/>
      <c r="H193" s="44" t="n">
        <f aca="false">B193+D193+E193+F193+G193+C193</f>
        <v>0</v>
      </c>
      <c r="I193" s="45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7" t="n">
        <f aca="false">J193+K193+L193+M193+N193+O193+P193+Q193+R193+S193+T193+U193</f>
        <v>0</v>
      </c>
      <c r="W193" s="47" t="n">
        <f aca="false">H193-V193</f>
        <v>0</v>
      </c>
      <c r="X193" s="48" t="n">
        <v>10.32</v>
      </c>
      <c r="Y193" s="48" t="n">
        <f aca="false">B193*$X193</f>
        <v>0</v>
      </c>
      <c r="Z193" s="48" t="n">
        <f aca="false">C193*$X193</f>
        <v>0</v>
      </c>
      <c r="AA193" s="48" t="n">
        <f aca="false">D193*$X193</f>
        <v>0</v>
      </c>
      <c r="AB193" s="48" t="n">
        <f aca="false">E193*$X193</f>
        <v>0</v>
      </c>
      <c r="AC193" s="48" t="n">
        <f aca="false">F193*$X193</f>
        <v>0</v>
      </c>
      <c r="AD193" s="48" t="n">
        <f aca="false">G193*$X193</f>
        <v>0</v>
      </c>
      <c r="AE193" s="48" t="n">
        <f aca="false">H193*$X193</f>
        <v>0</v>
      </c>
      <c r="AF193" s="48" t="n">
        <f aca="false">I193*$X193</f>
        <v>0</v>
      </c>
      <c r="AG193" s="48" t="n">
        <f aca="false">J193*$X193</f>
        <v>0</v>
      </c>
      <c r="AH193" s="48" t="n">
        <f aca="false">K193*$X193</f>
        <v>0</v>
      </c>
      <c r="AI193" s="48" t="n">
        <f aca="false">L193*$X193</f>
        <v>0</v>
      </c>
      <c r="AJ193" s="48" t="n">
        <f aca="false">M193*$X193</f>
        <v>0</v>
      </c>
      <c r="AK193" s="48" t="n">
        <f aca="false">N193*$X193</f>
        <v>0</v>
      </c>
      <c r="AL193" s="48" t="n">
        <f aca="false">O193*$X193</f>
        <v>0</v>
      </c>
      <c r="AM193" s="48" t="n">
        <f aca="false">P193*$X193</f>
        <v>0</v>
      </c>
      <c r="AN193" s="48" t="n">
        <f aca="false">Q193*$X193</f>
        <v>0</v>
      </c>
      <c r="AO193" s="48" t="n">
        <f aca="false">R193*$X193</f>
        <v>0</v>
      </c>
      <c r="AP193" s="48" t="n">
        <f aca="false">S193*$X193</f>
        <v>0</v>
      </c>
      <c r="AQ193" s="48" t="n">
        <f aca="false">T193*$X193</f>
        <v>0</v>
      </c>
      <c r="AR193" s="48" t="n">
        <f aca="false">U193*$X193</f>
        <v>0</v>
      </c>
      <c r="AS193" s="48" t="n">
        <f aca="false">V193*$X193</f>
        <v>0</v>
      </c>
      <c r="AT193" s="48" t="n">
        <f aca="false">W193*$X193</f>
        <v>0</v>
      </c>
      <c r="AU193" s="48" t="n">
        <f aca="false">X193*$X193</f>
        <v>106.5024</v>
      </c>
      <c r="AV193" s="48" t="n">
        <f aca="false">Y193*$X193</f>
        <v>0</v>
      </c>
      <c r="AW193" s="48" t="n">
        <f aca="false">Z193*$X193</f>
        <v>0</v>
      </c>
      <c r="AX193" s="48" t="n">
        <f aca="false">AA193*$X193</f>
        <v>0</v>
      </c>
      <c r="AY193" s="48" t="n">
        <f aca="false">AB193*$X193</f>
        <v>0</v>
      </c>
      <c r="AZ193" s="48" t="n">
        <f aca="false">AC193*$X193</f>
        <v>0</v>
      </c>
      <c r="BA193" s="1"/>
      <c r="BB193" s="1"/>
      <c r="BC193" s="1"/>
      <c r="BD193" s="1"/>
      <c r="BE193" s="1"/>
      <c r="BF193" s="1"/>
    </row>
    <row r="194" s="48" customFormat="true" ht="15" hidden="false" customHeight="true" outlineLevel="0" collapsed="false">
      <c r="A194" s="42" t="s">
        <v>263</v>
      </c>
      <c r="B194" s="42" t="n">
        <v>0</v>
      </c>
      <c r="C194" s="43"/>
      <c r="D194" s="44"/>
      <c r="E194" s="44"/>
      <c r="F194" s="44"/>
      <c r="G194" s="44"/>
      <c r="H194" s="44" t="n">
        <f aca="false">B194+D194+E194+F194+G194+C194</f>
        <v>0</v>
      </c>
      <c r="I194" s="45"/>
      <c r="J194" s="49" t="n">
        <v>224</v>
      </c>
      <c r="K194" s="49"/>
      <c r="L194" s="49" t="n">
        <v>48</v>
      </c>
      <c r="M194" s="49"/>
      <c r="N194" s="49"/>
      <c r="O194" s="49"/>
      <c r="P194" s="49"/>
      <c r="Q194" s="49"/>
      <c r="R194" s="49"/>
      <c r="S194" s="49"/>
      <c r="T194" s="49"/>
      <c r="U194" s="49"/>
      <c r="V194" s="47" t="n">
        <f aca="false">J194+K194+L194+M194+N194+O194+P194+Q194+R194+S194+T194+U194</f>
        <v>272</v>
      </c>
      <c r="W194" s="47" t="n">
        <f aca="false">H194-V194</f>
        <v>-272</v>
      </c>
      <c r="X194" s="48" t="n">
        <v>10.75</v>
      </c>
      <c r="Y194" s="48" t="n">
        <f aca="false">B194*$X194</f>
        <v>0</v>
      </c>
      <c r="Z194" s="48" t="n">
        <f aca="false">C194*$X194</f>
        <v>0</v>
      </c>
      <c r="AA194" s="48" t="n">
        <f aca="false">D194*$X194</f>
        <v>0</v>
      </c>
      <c r="AB194" s="48" t="n">
        <f aca="false">E194*$X194</f>
        <v>0</v>
      </c>
      <c r="AC194" s="48" t="n">
        <f aca="false">F194*$X194</f>
        <v>0</v>
      </c>
      <c r="AD194" s="48" t="n">
        <f aca="false">G194*$X194</f>
        <v>0</v>
      </c>
      <c r="AE194" s="48" t="n">
        <f aca="false">H194*$X194</f>
        <v>0</v>
      </c>
      <c r="AF194" s="48" t="n">
        <f aca="false">I194*$X194</f>
        <v>0</v>
      </c>
      <c r="AG194" s="48" t="n">
        <f aca="false">J194*$X194</f>
        <v>2408</v>
      </c>
      <c r="AH194" s="48" t="n">
        <f aca="false">K194*$X194</f>
        <v>0</v>
      </c>
      <c r="AI194" s="48" t="n">
        <f aca="false">L194*$X194</f>
        <v>516</v>
      </c>
      <c r="AJ194" s="48" t="n">
        <f aca="false">M194*$X194</f>
        <v>0</v>
      </c>
      <c r="AK194" s="48" t="n">
        <f aca="false">N194*$X194</f>
        <v>0</v>
      </c>
      <c r="AL194" s="48" t="n">
        <f aca="false">O194*$X194</f>
        <v>0</v>
      </c>
      <c r="AM194" s="48" t="n">
        <f aca="false">P194*$X194</f>
        <v>0</v>
      </c>
      <c r="AN194" s="48" t="n">
        <f aca="false">Q194*$X194</f>
        <v>0</v>
      </c>
      <c r="AO194" s="48" t="n">
        <f aca="false">R194*$X194</f>
        <v>0</v>
      </c>
      <c r="AP194" s="48" t="n">
        <f aca="false">S194*$X194</f>
        <v>0</v>
      </c>
      <c r="AQ194" s="48" t="n">
        <f aca="false">T194*$X194</f>
        <v>0</v>
      </c>
      <c r="AR194" s="48" t="n">
        <f aca="false">U194*$X194</f>
        <v>0</v>
      </c>
      <c r="AS194" s="48" t="n">
        <f aca="false">V194*$X194</f>
        <v>2924</v>
      </c>
      <c r="AT194" s="48" t="n">
        <f aca="false">W194*$X194</f>
        <v>-2924</v>
      </c>
      <c r="AU194" s="48" t="n">
        <f aca="false">X194*$X194</f>
        <v>115.5625</v>
      </c>
      <c r="AV194" s="48" t="n">
        <f aca="false">Y194*$X194</f>
        <v>0</v>
      </c>
      <c r="AW194" s="48" t="n">
        <f aca="false">Z194*$X194</f>
        <v>0</v>
      </c>
      <c r="AX194" s="48" t="n">
        <f aca="false">AA194*$X194</f>
        <v>0</v>
      </c>
      <c r="AY194" s="48" t="n">
        <f aca="false">AB194*$X194</f>
        <v>0</v>
      </c>
      <c r="AZ194" s="48" t="n">
        <f aca="false">AC194*$X194</f>
        <v>0</v>
      </c>
      <c r="BA194" s="1"/>
      <c r="BB194" s="1"/>
      <c r="BC194" s="1"/>
      <c r="BD194" s="1"/>
      <c r="BE194" s="1"/>
      <c r="BF194" s="1"/>
    </row>
    <row r="195" s="48" customFormat="true" ht="15" hidden="false" customHeight="true" outlineLevel="0" collapsed="false">
      <c r="A195" s="42" t="s">
        <v>264</v>
      </c>
      <c r="B195" s="42" t="n">
        <v>34</v>
      </c>
      <c r="C195" s="43"/>
      <c r="D195" s="44" t="n">
        <v>11</v>
      </c>
      <c r="E195" s="44" t="n">
        <v>32</v>
      </c>
      <c r="F195" s="44"/>
      <c r="G195" s="44"/>
      <c r="H195" s="44" t="n">
        <f aca="false">B195+D195+E195+F195+G195+C195</f>
        <v>77</v>
      </c>
      <c r="I195" s="45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 t="n">
        <v>5</v>
      </c>
      <c r="V195" s="47" t="n">
        <f aca="false">J195+K195+L195+M195+N195+O195+P195+Q195+R195+S195+T195+U195</f>
        <v>5</v>
      </c>
      <c r="W195" s="47" t="n">
        <f aca="false">H195-V195</f>
        <v>72</v>
      </c>
      <c r="X195" s="48" t="n">
        <v>8.06</v>
      </c>
      <c r="Y195" s="48" t="n">
        <f aca="false">B195*$X195</f>
        <v>274.04</v>
      </c>
      <c r="Z195" s="48" t="n">
        <f aca="false">C195*$X195</f>
        <v>0</v>
      </c>
      <c r="AA195" s="48" t="n">
        <f aca="false">D195*$X195</f>
        <v>88.66</v>
      </c>
      <c r="AB195" s="48" t="n">
        <f aca="false">E195*$X195</f>
        <v>257.92</v>
      </c>
      <c r="AC195" s="48" t="n">
        <f aca="false">F195*$X195</f>
        <v>0</v>
      </c>
      <c r="AD195" s="48" t="n">
        <f aca="false">G195*$X195</f>
        <v>0</v>
      </c>
      <c r="AE195" s="48" t="n">
        <f aca="false">H195*$X195</f>
        <v>620.62</v>
      </c>
      <c r="AF195" s="48" t="n">
        <f aca="false">I195*$X195</f>
        <v>0</v>
      </c>
      <c r="AG195" s="48" t="n">
        <f aca="false">J195*$X195</f>
        <v>0</v>
      </c>
      <c r="AH195" s="48" t="n">
        <f aca="false">K195*$X195</f>
        <v>0</v>
      </c>
      <c r="AI195" s="48" t="n">
        <f aca="false">L195*$X195</f>
        <v>0</v>
      </c>
      <c r="AJ195" s="48" t="n">
        <f aca="false">M195*$X195</f>
        <v>0</v>
      </c>
      <c r="AK195" s="48" t="n">
        <f aca="false">N195*$X195</f>
        <v>0</v>
      </c>
      <c r="AL195" s="48" t="n">
        <f aca="false">O195*$X195</f>
        <v>0</v>
      </c>
      <c r="AM195" s="48" t="n">
        <f aca="false">P195*$X195</f>
        <v>0</v>
      </c>
      <c r="AN195" s="48" t="n">
        <f aca="false">Q195*$X195</f>
        <v>0</v>
      </c>
      <c r="AO195" s="48" t="n">
        <f aca="false">R195*$X195</f>
        <v>0</v>
      </c>
      <c r="AP195" s="48" t="n">
        <f aca="false">S195*$X195</f>
        <v>0</v>
      </c>
      <c r="AQ195" s="48" t="n">
        <f aca="false">T195*$X195</f>
        <v>0</v>
      </c>
      <c r="AR195" s="48" t="n">
        <f aca="false">U195*$X195</f>
        <v>40.3</v>
      </c>
      <c r="AS195" s="48" t="n">
        <f aca="false">V195*$X195</f>
        <v>40.3</v>
      </c>
      <c r="AT195" s="48" t="n">
        <f aca="false">W195*$X195</f>
        <v>580.32</v>
      </c>
      <c r="AU195" s="48" t="n">
        <f aca="false">X195*$X195</f>
        <v>64.9636</v>
      </c>
      <c r="AV195" s="48" t="n">
        <f aca="false">Y195*$X195</f>
        <v>2208.7624</v>
      </c>
      <c r="AW195" s="48" t="n">
        <f aca="false">Z195*$X195</f>
        <v>0</v>
      </c>
      <c r="AX195" s="48" t="n">
        <f aca="false">AA195*$X195</f>
        <v>714.5996</v>
      </c>
      <c r="AY195" s="48" t="n">
        <f aca="false">AB195*$X195</f>
        <v>2078.8352</v>
      </c>
      <c r="AZ195" s="48" t="n">
        <f aca="false">AC195*$X195</f>
        <v>0</v>
      </c>
      <c r="BA195" s="1"/>
      <c r="BB195" s="1"/>
      <c r="BC195" s="1"/>
      <c r="BD195" s="1"/>
      <c r="BE195" s="1"/>
      <c r="BF195" s="1"/>
    </row>
    <row r="196" s="48" customFormat="true" ht="15" hidden="false" customHeight="true" outlineLevel="0" collapsed="false">
      <c r="A196" s="42" t="s">
        <v>265</v>
      </c>
      <c r="B196" s="42" t="n">
        <v>23</v>
      </c>
      <c r="C196" s="43"/>
      <c r="D196" s="44"/>
      <c r="E196" s="44" t="n">
        <v>8</v>
      </c>
      <c r="F196" s="44"/>
      <c r="G196" s="44"/>
      <c r="H196" s="44" t="n">
        <f aca="false">B196+D196+E196+F196+G196+C196</f>
        <v>31</v>
      </c>
      <c r="I196" s="45"/>
      <c r="J196" s="49"/>
      <c r="K196" s="49" t="n">
        <v>2</v>
      </c>
      <c r="L196" s="49"/>
      <c r="M196" s="49"/>
      <c r="N196" s="49"/>
      <c r="O196" s="49"/>
      <c r="P196" s="49"/>
      <c r="Q196" s="49"/>
      <c r="R196" s="49" t="n">
        <v>1</v>
      </c>
      <c r="S196" s="49" t="n">
        <v>9</v>
      </c>
      <c r="T196" s="49"/>
      <c r="U196" s="49"/>
      <c r="V196" s="47" t="n">
        <f aca="false">J196+K196+L196+M196+N196+O196+P196+Q196+R196+S196+T196+U196</f>
        <v>12</v>
      </c>
      <c r="W196" s="47" t="n">
        <f aca="false">H196-V196</f>
        <v>19</v>
      </c>
      <c r="X196" s="48" t="n">
        <v>8.06</v>
      </c>
      <c r="Y196" s="48" t="n">
        <f aca="false">B196*$X196</f>
        <v>185.38</v>
      </c>
      <c r="Z196" s="48" t="n">
        <f aca="false">C196*$X196</f>
        <v>0</v>
      </c>
      <c r="AA196" s="48" t="n">
        <f aca="false">D196*$X196</f>
        <v>0</v>
      </c>
      <c r="AB196" s="48" t="n">
        <f aca="false">E196*$X196</f>
        <v>64.48</v>
      </c>
      <c r="AC196" s="48" t="n">
        <f aca="false">F196*$X196</f>
        <v>0</v>
      </c>
      <c r="AD196" s="48" t="n">
        <f aca="false">G196*$X196</f>
        <v>0</v>
      </c>
      <c r="AE196" s="48" t="n">
        <f aca="false">H196*$X196</f>
        <v>249.86</v>
      </c>
      <c r="AF196" s="48" t="n">
        <f aca="false">I196*$X196</f>
        <v>0</v>
      </c>
      <c r="AG196" s="48" t="n">
        <f aca="false">J196*$X196</f>
        <v>0</v>
      </c>
      <c r="AH196" s="48" t="n">
        <f aca="false">K196*$X196</f>
        <v>16.12</v>
      </c>
      <c r="AI196" s="48" t="n">
        <f aca="false">L196*$X196</f>
        <v>0</v>
      </c>
      <c r="AJ196" s="48" t="n">
        <f aca="false">M196*$X196</f>
        <v>0</v>
      </c>
      <c r="AK196" s="48" t="n">
        <f aca="false">N196*$X196</f>
        <v>0</v>
      </c>
      <c r="AL196" s="48" t="n">
        <f aca="false">O196*$X196</f>
        <v>0</v>
      </c>
      <c r="AM196" s="48" t="n">
        <f aca="false">P196*$X196</f>
        <v>0</v>
      </c>
      <c r="AN196" s="48" t="n">
        <f aca="false">Q196*$X196</f>
        <v>0</v>
      </c>
      <c r="AO196" s="48" t="n">
        <f aca="false">R196*$X196</f>
        <v>8.06</v>
      </c>
      <c r="AP196" s="48" t="n">
        <f aca="false">S196*$X196</f>
        <v>72.54</v>
      </c>
      <c r="AQ196" s="48" t="n">
        <f aca="false">T196*$X196</f>
        <v>0</v>
      </c>
      <c r="AR196" s="48" t="n">
        <f aca="false">U196*$X196</f>
        <v>0</v>
      </c>
      <c r="AS196" s="48" t="n">
        <f aca="false">V196*$X196</f>
        <v>96.72</v>
      </c>
      <c r="AT196" s="48" t="n">
        <f aca="false">W196*$X196</f>
        <v>153.14</v>
      </c>
      <c r="AU196" s="48" t="n">
        <f aca="false">X196*$X196</f>
        <v>64.9636</v>
      </c>
      <c r="AV196" s="48" t="n">
        <f aca="false">Y196*$X196</f>
        <v>1494.1628</v>
      </c>
      <c r="AW196" s="48" t="n">
        <f aca="false">Z196*$X196</f>
        <v>0</v>
      </c>
      <c r="AX196" s="48" t="n">
        <f aca="false">AA196*$X196</f>
        <v>0</v>
      </c>
      <c r="AY196" s="48" t="n">
        <f aca="false">AB196*$X196</f>
        <v>519.7088</v>
      </c>
      <c r="AZ196" s="48" t="n">
        <f aca="false">AC196*$X196</f>
        <v>0</v>
      </c>
      <c r="BA196" s="1"/>
      <c r="BB196" s="1"/>
      <c r="BC196" s="1"/>
      <c r="BD196" s="1"/>
      <c r="BE196" s="1"/>
      <c r="BF196" s="1"/>
    </row>
    <row r="197" s="48" customFormat="true" ht="15" hidden="false" customHeight="true" outlineLevel="0" collapsed="false">
      <c r="A197" s="42" t="s">
        <v>266</v>
      </c>
      <c r="B197" s="42" t="n">
        <v>0</v>
      </c>
      <c r="C197" s="43"/>
      <c r="D197" s="44"/>
      <c r="E197" s="44" t="n">
        <v>4</v>
      </c>
      <c r="F197" s="44"/>
      <c r="G197" s="44"/>
      <c r="H197" s="44" t="n">
        <f aca="false">B197+D197+E197+F197+G197+C197</f>
        <v>4</v>
      </c>
      <c r="I197" s="45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7" t="n">
        <f aca="false">J197+K197+L197+M197+N197+O197+P197+Q197+R197+S197+T197+U197</f>
        <v>0</v>
      </c>
      <c r="W197" s="47" t="n">
        <f aca="false">H197-V197</f>
        <v>4</v>
      </c>
      <c r="X197" s="48" t="n">
        <v>0.9</v>
      </c>
      <c r="Y197" s="48" t="n">
        <f aca="false">B197*$X197</f>
        <v>0</v>
      </c>
      <c r="Z197" s="48" t="n">
        <f aca="false">C197*$X197</f>
        <v>0</v>
      </c>
      <c r="AA197" s="48" t="n">
        <f aca="false">D197*$X197</f>
        <v>0</v>
      </c>
      <c r="AB197" s="48" t="n">
        <f aca="false">E197*$X197</f>
        <v>3.6</v>
      </c>
      <c r="AC197" s="48" t="n">
        <f aca="false">F197*$X197</f>
        <v>0</v>
      </c>
      <c r="AD197" s="48" t="n">
        <f aca="false">G197*$X197</f>
        <v>0</v>
      </c>
      <c r="AE197" s="48" t="n">
        <f aca="false">H197*$X197</f>
        <v>3.6</v>
      </c>
      <c r="AF197" s="48" t="n">
        <f aca="false">I197*$X197</f>
        <v>0</v>
      </c>
      <c r="AG197" s="48" t="n">
        <f aca="false">J197*$X197</f>
        <v>0</v>
      </c>
      <c r="AH197" s="48" t="n">
        <f aca="false">K197*$X197</f>
        <v>0</v>
      </c>
      <c r="AI197" s="48" t="n">
        <f aca="false">L197*$X197</f>
        <v>0</v>
      </c>
      <c r="AJ197" s="48" t="n">
        <f aca="false">M197*$X197</f>
        <v>0</v>
      </c>
      <c r="AK197" s="48" t="n">
        <f aca="false">N197*$X197</f>
        <v>0</v>
      </c>
      <c r="AL197" s="48" t="n">
        <f aca="false">O197*$X197</f>
        <v>0</v>
      </c>
      <c r="AM197" s="48" t="n">
        <f aca="false">P197*$X197</f>
        <v>0</v>
      </c>
      <c r="AN197" s="48" t="n">
        <f aca="false">Q197*$X197</f>
        <v>0</v>
      </c>
      <c r="AO197" s="48" t="n">
        <f aca="false">R197*$X197</f>
        <v>0</v>
      </c>
      <c r="AP197" s="48" t="n">
        <f aca="false">S197*$X197</f>
        <v>0</v>
      </c>
      <c r="AQ197" s="48" t="n">
        <f aca="false">T197*$X197</f>
        <v>0</v>
      </c>
      <c r="AR197" s="48" t="n">
        <f aca="false">U197*$X197</f>
        <v>0</v>
      </c>
      <c r="AS197" s="48" t="n">
        <f aca="false">V197*$X197</f>
        <v>0</v>
      </c>
      <c r="AT197" s="48" t="n">
        <f aca="false">W197*$X197</f>
        <v>3.6</v>
      </c>
      <c r="AU197" s="48" t="n">
        <f aca="false">X197*$X197</f>
        <v>0.81</v>
      </c>
      <c r="AV197" s="48" t="n">
        <f aca="false">Y197*$X197</f>
        <v>0</v>
      </c>
      <c r="AW197" s="48" t="n">
        <f aca="false">Z197*$X197</f>
        <v>0</v>
      </c>
      <c r="AX197" s="48" t="n">
        <f aca="false">AA197*$X197</f>
        <v>0</v>
      </c>
      <c r="AY197" s="48" t="n">
        <f aca="false">AB197*$X197</f>
        <v>3.24</v>
      </c>
      <c r="AZ197" s="48" t="n">
        <f aca="false">AC197*$X197</f>
        <v>0</v>
      </c>
      <c r="BA197" s="1"/>
      <c r="BB197" s="1"/>
      <c r="BC197" s="1"/>
      <c r="BD197" s="1"/>
      <c r="BE197" s="1"/>
      <c r="BF197" s="1"/>
    </row>
    <row r="198" s="48" customFormat="true" ht="15" hidden="false" customHeight="true" outlineLevel="0" collapsed="false">
      <c r="A198" s="42" t="s">
        <v>267</v>
      </c>
      <c r="B198" s="42" t="n">
        <v>0</v>
      </c>
      <c r="C198" s="43"/>
      <c r="D198" s="44"/>
      <c r="E198" s="44" t="n">
        <v>4</v>
      </c>
      <c r="F198" s="44"/>
      <c r="G198" s="44"/>
      <c r="H198" s="44" t="n">
        <f aca="false">B198+D198+E198+F198+G198+C198</f>
        <v>4</v>
      </c>
      <c r="I198" s="45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7" t="n">
        <f aca="false">J198+K198+L198+M198+N198+O198+P198+Q198+R198+S198+T198+U198</f>
        <v>0</v>
      </c>
      <c r="W198" s="47" t="n">
        <f aca="false">H198-V198</f>
        <v>4</v>
      </c>
      <c r="X198" s="48" t="n">
        <v>1.8</v>
      </c>
      <c r="Y198" s="48" t="n">
        <f aca="false">B198*$X198</f>
        <v>0</v>
      </c>
      <c r="Z198" s="48" t="n">
        <f aca="false">C198*$X198</f>
        <v>0</v>
      </c>
      <c r="AA198" s="48" t="n">
        <f aca="false">D198*$X198</f>
        <v>0</v>
      </c>
      <c r="AB198" s="48" t="n">
        <f aca="false">E198*$X198</f>
        <v>7.2</v>
      </c>
      <c r="AC198" s="48" t="n">
        <f aca="false">F198*$X198</f>
        <v>0</v>
      </c>
      <c r="AD198" s="48" t="n">
        <f aca="false">G198*$X198</f>
        <v>0</v>
      </c>
      <c r="AE198" s="48" t="n">
        <f aca="false">H198*$X198</f>
        <v>7.2</v>
      </c>
      <c r="AF198" s="48" t="n">
        <f aca="false">I198*$X198</f>
        <v>0</v>
      </c>
      <c r="AG198" s="48" t="n">
        <f aca="false">J198*$X198</f>
        <v>0</v>
      </c>
      <c r="AH198" s="48" t="n">
        <f aca="false">K198*$X198</f>
        <v>0</v>
      </c>
      <c r="AI198" s="48" t="n">
        <f aca="false">L198*$X198</f>
        <v>0</v>
      </c>
      <c r="AJ198" s="48" t="n">
        <f aca="false">M198*$X198</f>
        <v>0</v>
      </c>
      <c r="AK198" s="48" t="n">
        <f aca="false">N198*$X198</f>
        <v>0</v>
      </c>
      <c r="AL198" s="48" t="n">
        <f aca="false">O198*$X198</f>
        <v>0</v>
      </c>
      <c r="AM198" s="48" t="n">
        <f aca="false">P198*$X198</f>
        <v>0</v>
      </c>
      <c r="AN198" s="48" t="n">
        <f aca="false">Q198*$X198</f>
        <v>0</v>
      </c>
      <c r="AO198" s="48" t="n">
        <f aca="false">R198*$X198</f>
        <v>0</v>
      </c>
      <c r="AP198" s="48" t="n">
        <f aca="false">S198*$X198</f>
        <v>0</v>
      </c>
      <c r="AQ198" s="48" t="n">
        <f aca="false">T198*$X198</f>
        <v>0</v>
      </c>
      <c r="AR198" s="48" t="n">
        <f aca="false">U198*$X198</f>
        <v>0</v>
      </c>
      <c r="AS198" s="48" t="n">
        <f aca="false">V198*$X198</f>
        <v>0</v>
      </c>
      <c r="AT198" s="48" t="n">
        <f aca="false">W198*$X198</f>
        <v>7.2</v>
      </c>
      <c r="AU198" s="48" t="n">
        <f aca="false">X198*$X198</f>
        <v>3.24</v>
      </c>
      <c r="AV198" s="48" t="n">
        <f aca="false">Y198*$X198</f>
        <v>0</v>
      </c>
      <c r="AW198" s="48" t="n">
        <f aca="false">Z198*$X198</f>
        <v>0</v>
      </c>
      <c r="AX198" s="48" t="n">
        <f aca="false">AA198*$X198</f>
        <v>0</v>
      </c>
      <c r="AY198" s="48" t="n">
        <f aca="false">AB198*$X198</f>
        <v>12.96</v>
      </c>
      <c r="AZ198" s="48" t="n">
        <f aca="false">AC198*$X198</f>
        <v>0</v>
      </c>
      <c r="BA198" s="1"/>
      <c r="BB198" s="1"/>
      <c r="BC198" s="1"/>
      <c r="BD198" s="1"/>
      <c r="BE198" s="1"/>
      <c r="BF198" s="1"/>
    </row>
    <row r="199" s="48" customFormat="true" ht="15" hidden="false" customHeight="true" outlineLevel="0" collapsed="false">
      <c r="A199" s="42" t="s">
        <v>268</v>
      </c>
      <c r="B199" s="42" t="n">
        <v>0</v>
      </c>
      <c r="C199" s="43"/>
      <c r="D199" s="44"/>
      <c r="E199" s="44" t="n">
        <v>4</v>
      </c>
      <c r="F199" s="44"/>
      <c r="G199" s="44"/>
      <c r="H199" s="44" t="n">
        <f aca="false">B199+D199+E199+F199+G199+C199</f>
        <v>4</v>
      </c>
      <c r="I199" s="45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7" t="n">
        <f aca="false">J199+K199+L199+M199+N199+O199+P199+Q199+R199+S199+T199+U199</f>
        <v>0</v>
      </c>
      <c r="W199" s="47" t="n">
        <f aca="false">H199-V199</f>
        <v>4</v>
      </c>
      <c r="X199" s="48" t="n">
        <v>2.7</v>
      </c>
      <c r="Y199" s="48" t="n">
        <f aca="false">B199*$X199</f>
        <v>0</v>
      </c>
      <c r="Z199" s="48" t="n">
        <f aca="false">C199*$X199</f>
        <v>0</v>
      </c>
      <c r="AA199" s="48" t="n">
        <f aca="false">D199*$X199</f>
        <v>0</v>
      </c>
      <c r="AB199" s="48" t="n">
        <f aca="false">E199*$X199</f>
        <v>10.8</v>
      </c>
      <c r="AC199" s="48" t="n">
        <f aca="false">F199*$X199</f>
        <v>0</v>
      </c>
      <c r="AD199" s="48" t="n">
        <f aca="false">G199*$X199</f>
        <v>0</v>
      </c>
      <c r="AE199" s="48" t="n">
        <f aca="false">H199*$X199</f>
        <v>10.8</v>
      </c>
      <c r="AF199" s="48" t="n">
        <f aca="false">I199*$X199</f>
        <v>0</v>
      </c>
      <c r="AG199" s="48" t="n">
        <f aca="false">J199*$X199</f>
        <v>0</v>
      </c>
      <c r="AH199" s="48" t="n">
        <f aca="false">K199*$X199</f>
        <v>0</v>
      </c>
      <c r="AI199" s="48" t="n">
        <f aca="false">L199*$X199</f>
        <v>0</v>
      </c>
      <c r="AJ199" s="48" t="n">
        <f aca="false">M199*$X199</f>
        <v>0</v>
      </c>
      <c r="AK199" s="48" t="n">
        <f aca="false">N199*$X199</f>
        <v>0</v>
      </c>
      <c r="AL199" s="48" t="n">
        <f aca="false">O199*$X199</f>
        <v>0</v>
      </c>
      <c r="AM199" s="48" t="n">
        <f aca="false">P199*$X199</f>
        <v>0</v>
      </c>
      <c r="AN199" s="48" t="n">
        <f aca="false">Q199*$X199</f>
        <v>0</v>
      </c>
      <c r="AO199" s="48" t="n">
        <f aca="false">R199*$X199</f>
        <v>0</v>
      </c>
      <c r="AP199" s="48" t="n">
        <f aca="false">S199*$X199</f>
        <v>0</v>
      </c>
      <c r="AQ199" s="48" t="n">
        <f aca="false">T199*$X199</f>
        <v>0</v>
      </c>
      <c r="AR199" s="48" t="n">
        <f aca="false">U199*$X199</f>
        <v>0</v>
      </c>
      <c r="AS199" s="48" t="n">
        <f aca="false">V199*$X199</f>
        <v>0</v>
      </c>
      <c r="AT199" s="48" t="n">
        <f aca="false">W199*$X199</f>
        <v>10.8</v>
      </c>
      <c r="AU199" s="48" t="n">
        <f aca="false">X199*$X199</f>
        <v>7.29</v>
      </c>
      <c r="AV199" s="48" t="n">
        <f aca="false">Y199*$X199</f>
        <v>0</v>
      </c>
      <c r="AW199" s="48" t="n">
        <f aca="false">Z199*$X199</f>
        <v>0</v>
      </c>
      <c r="AX199" s="48" t="n">
        <f aca="false">AA199*$X199</f>
        <v>0</v>
      </c>
      <c r="AY199" s="48" t="n">
        <f aca="false">AB199*$X199</f>
        <v>29.16</v>
      </c>
      <c r="AZ199" s="48" t="n">
        <f aca="false">AC199*$X199</f>
        <v>0</v>
      </c>
      <c r="BA199" s="1"/>
      <c r="BB199" s="1"/>
      <c r="BC199" s="1"/>
      <c r="BD199" s="1"/>
      <c r="BE199" s="1"/>
      <c r="BF199" s="1"/>
    </row>
    <row r="200" s="48" customFormat="true" ht="15" hidden="false" customHeight="true" outlineLevel="0" collapsed="false">
      <c r="A200" s="42" t="s">
        <v>269</v>
      </c>
      <c r="B200" s="42" t="n">
        <v>0</v>
      </c>
      <c r="C200" s="43"/>
      <c r="D200" s="44"/>
      <c r="E200" s="44" t="n">
        <v>2</v>
      </c>
      <c r="F200" s="44"/>
      <c r="G200" s="44"/>
      <c r="H200" s="44" t="n">
        <f aca="false">B200+D200+E200+F200+G200+C200</f>
        <v>2</v>
      </c>
      <c r="I200" s="45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7" t="n">
        <f aca="false">J200+K200+L200+M200+N200+O200+P200+Q200+R200+S200+T200+U200</f>
        <v>0</v>
      </c>
      <c r="W200" s="47" t="n">
        <f aca="false">H200-V200</f>
        <v>2</v>
      </c>
      <c r="X200" s="48" t="n">
        <v>10.8</v>
      </c>
      <c r="Y200" s="48" t="n">
        <f aca="false">B200*$X200</f>
        <v>0</v>
      </c>
      <c r="Z200" s="48" t="n">
        <f aca="false">C200*$X200</f>
        <v>0</v>
      </c>
      <c r="AA200" s="48" t="n">
        <f aca="false">D200*$X200</f>
        <v>0</v>
      </c>
      <c r="AB200" s="48" t="n">
        <f aca="false">E200*$X200</f>
        <v>21.6</v>
      </c>
      <c r="AC200" s="48" t="n">
        <f aca="false">F200*$X200</f>
        <v>0</v>
      </c>
      <c r="AD200" s="48" t="n">
        <f aca="false">G200*$X200</f>
        <v>0</v>
      </c>
      <c r="AE200" s="48" t="n">
        <f aca="false">H200*$X200</f>
        <v>21.6</v>
      </c>
      <c r="AF200" s="48" t="n">
        <f aca="false">I200*$X200</f>
        <v>0</v>
      </c>
      <c r="AG200" s="48" t="n">
        <f aca="false">J200*$X200</f>
        <v>0</v>
      </c>
      <c r="AH200" s="48" t="n">
        <f aca="false">K200*$X200</f>
        <v>0</v>
      </c>
      <c r="AI200" s="48" t="n">
        <f aca="false">L200*$X200</f>
        <v>0</v>
      </c>
      <c r="AJ200" s="48" t="n">
        <f aca="false">M200*$X200</f>
        <v>0</v>
      </c>
      <c r="AK200" s="48" t="n">
        <f aca="false">N200*$X200</f>
        <v>0</v>
      </c>
      <c r="AL200" s="48" t="n">
        <f aca="false">O200*$X200</f>
        <v>0</v>
      </c>
      <c r="AM200" s="48" t="n">
        <f aca="false">P200*$X200</f>
        <v>0</v>
      </c>
      <c r="AN200" s="48" t="n">
        <f aca="false">Q200*$X200</f>
        <v>0</v>
      </c>
      <c r="AO200" s="48" t="n">
        <f aca="false">R200*$X200</f>
        <v>0</v>
      </c>
      <c r="AP200" s="48" t="n">
        <f aca="false">S200*$X200</f>
        <v>0</v>
      </c>
      <c r="AQ200" s="48" t="n">
        <f aca="false">T200*$X200</f>
        <v>0</v>
      </c>
      <c r="AR200" s="48" t="n">
        <f aca="false">U200*$X200</f>
        <v>0</v>
      </c>
      <c r="AS200" s="48" t="n">
        <f aca="false">V200*$X200</f>
        <v>0</v>
      </c>
      <c r="AT200" s="48" t="n">
        <f aca="false">W200*$X200</f>
        <v>21.6</v>
      </c>
      <c r="AU200" s="48" t="n">
        <f aca="false">X200*$X200</f>
        <v>116.64</v>
      </c>
      <c r="AV200" s="48" t="n">
        <f aca="false">Y200*$X200</f>
        <v>0</v>
      </c>
      <c r="AW200" s="48" t="n">
        <f aca="false">Z200*$X200</f>
        <v>0</v>
      </c>
      <c r="AX200" s="48" t="n">
        <f aca="false">AA200*$X200</f>
        <v>0</v>
      </c>
      <c r="AY200" s="48" t="n">
        <f aca="false">AB200*$X200</f>
        <v>233.28</v>
      </c>
      <c r="AZ200" s="48" t="n">
        <f aca="false">AC200*$X200</f>
        <v>0</v>
      </c>
      <c r="BA200" s="1"/>
      <c r="BB200" s="1"/>
      <c r="BC200" s="1"/>
      <c r="BD200" s="1"/>
      <c r="BE200" s="1"/>
      <c r="BF200" s="1"/>
    </row>
    <row r="201" s="48" customFormat="true" ht="15" hidden="false" customHeight="true" outlineLevel="0" collapsed="false">
      <c r="A201" s="42" t="s">
        <v>270</v>
      </c>
      <c r="B201" s="42" t="n">
        <v>19</v>
      </c>
      <c r="C201" s="43"/>
      <c r="D201" s="44" t="n">
        <v>140</v>
      </c>
      <c r="E201" s="44" t="n">
        <v>6</v>
      </c>
      <c r="F201" s="44"/>
      <c r="G201" s="44"/>
      <c r="H201" s="44" t="n">
        <f aca="false">B201+D201+E201+F201+G201+C201</f>
        <v>165</v>
      </c>
      <c r="I201" s="45"/>
      <c r="J201" s="49"/>
      <c r="K201" s="49"/>
      <c r="L201" s="49" t="n">
        <v>18</v>
      </c>
      <c r="M201" s="49"/>
      <c r="N201" s="49"/>
      <c r="O201" s="49"/>
      <c r="P201" s="49"/>
      <c r="Q201" s="49"/>
      <c r="R201" s="49"/>
      <c r="S201" s="49"/>
      <c r="T201" s="49"/>
      <c r="U201" s="49"/>
      <c r="V201" s="47" t="n">
        <f aca="false">J201+K201+L201+M201+N201+O201+P201+Q201+R201+S201+T201+U201</f>
        <v>18</v>
      </c>
      <c r="W201" s="47" t="n">
        <f aca="false">H201-V201</f>
        <v>147</v>
      </c>
      <c r="X201" s="48" t="n">
        <v>0.9</v>
      </c>
      <c r="Y201" s="48" t="n">
        <f aca="false">B201*$X201</f>
        <v>17.1</v>
      </c>
      <c r="Z201" s="48" t="n">
        <f aca="false">C201*$X201</f>
        <v>0</v>
      </c>
      <c r="AA201" s="48" t="n">
        <f aca="false">D201*$X201</f>
        <v>126</v>
      </c>
      <c r="AB201" s="48" t="n">
        <f aca="false">E201*$X201</f>
        <v>5.4</v>
      </c>
      <c r="AC201" s="48" t="n">
        <f aca="false">F201*$X201</f>
        <v>0</v>
      </c>
      <c r="AD201" s="48" t="n">
        <f aca="false">G201*$X201</f>
        <v>0</v>
      </c>
      <c r="AE201" s="48" t="n">
        <f aca="false">H201*$X201</f>
        <v>148.5</v>
      </c>
      <c r="AF201" s="48" t="n">
        <f aca="false">I201*$X201</f>
        <v>0</v>
      </c>
      <c r="AG201" s="48" t="n">
        <f aca="false">J201*$X201</f>
        <v>0</v>
      </c>
      <c r="AH201" s="48" t="n">
        <f aca="false">K201*$X201</f>
        <v>0</v>
      </c>
      <c r="AI201" s="48" t="n">
        <f aca="false">L201*$X201</f>
        <v>16.2</v>
      </c>
      <c r="AJ201" s="48" t="n">
        <f aca="false">M201*$X201</f>
        <v>0</v>
      </c>
      <c r="AK201" s="48" t="n">
        <f aca="false">N201*$X201</f>
        <v>0</v>
      </c>
      <c r="AL201" s="48" t="n">
        <f aca="false">O201*$X201</f>
        <v>0</v>
      </c>
      <c r="AM201" s="48" t="n">
        <f aca="false">P201*$X201</f>
        <v>0</v>
      </c>
      <c r="AN201" s="48" t="n">
        <f aca="false">Q201*$X201</f>
        <v>0</v>
      </c>
      <c r="AO201" s="48" t="n">
        <f aca="false">R201*$X201</f>
        <v>0</v>
      </c>
      <c r="AP201" s="48" t="n">
        <f aca="false">S201*$X201</f>
        <v>0</v>
      </c>
      <c r="AQ201" s="48" t="n">
        <f aca="false">T201*$X201</f>
        <v>0</v>
      </c>
      <c r="AR201" s="48" t="n">
        <f aca="false">U201*$X201</f>
        <v>0</v>
      </c>
      <c r="AS201" s="48" t="n">
        <f aca="false">V201*$X201</f>
        <v>16.2</v>
      </c>
      <c r="AT201" s="48" t="n">
        <f aca="false">W201*$X201</f>
        <v>132.3</v>
      </c>
      <c r="AU201" s="48" t="n">
        <f aca="false">X201*$X201</f>
        <v>0.81</v>
      </c>
      <c r="AV201" s="48" t="n">
        <f aca="false">Y201*$X201</f>
        <v>15.39</v>
      </c>
      <c r="AW201" s="48" t="n">
        <f aca="false">Z201*$X201</f>
        <v>0</v>
      </c>
      <c r="AX201" s="48" t="n">
        <f aca="false">AA201*$X201</f>
        <v>113.4</v>
      </c>
      <c r="AY201" s="48" t="n">
        <f aca="false">AB201*$X201</f>
        <v>4.86</v>
      </c>
      <c r="AZ201" s="48" t="n">
        <f aca="false">AC201*$X201</f>
        <v>0</v>
      </c>
      <c r="BA201" s="1"/>
      <c r="BB201" s="1"/>
      <c r="BC201" s="1"/>
      <c r="BD201" s="1"/>
      <c r="BE201" s="1"/>
      <c r="BF201" s="1"/>
    </row>
    <row r="202" s="48" customFormat="true" ht="15" hidden="false" customHeight="true" outlineLevel="0" collapsed="false">
      <c r="A202" s="42" t="s">
        <v>271</v>
      </c>
      <c r="B202" s="42" t="n">
        <v>12</v>
      </c>
      <c r="C202" s="43"/>
      <c r="D202" s="44"/>
      <c r="E202" s="44" t="n">
        <v>1</v>
      </c>
      <c r="F202" s="44"/>
      <c r="G202" s="44" t="n">
        <v>30</v>
      </c>
      <c r="H202" s="44" t="n">
        <f aca="false">B202+D202+E202+F202+G202+C202</f>
        <v>43</v>
      </c>
      <c r="I202" s="45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7" t="n">
        <f aca="false">J202+K202+L202+M202+N202+O202+P202+Q202+R202+S202+T202+U202</f>
        <v>0</v>
      </c>
      <c r="W202" s="47" t="n">
        <f aca="false">H202-V202</f>
        <v>43</v>
      </c>
      <c r="X202" s="48" t="n">
        <v>1.8</v>
      </c>
      <c r="Y202" s="48" t="n">
        <f aca="false">B202*$X202</f>
        <v>21.6</v>
      </c>
      <c r="Z202" s="48" t="n">
        <f aca="false">C202*$X202</f>
        <v>0</v>
      </c>
      <c r="AA202" s="48" t="n">
        <f aca="false">D202*$X202</f>
        <v>0</v>
      </c>
      <c r="AB202" s="48" t="n">
        <f aca="false">E202*$X202</f>
        <v>1.8</v>
      </c>
      <c r="AC202" s="48" t="n">
        <f aca="false">F202*$X202</f>
        <v>0</v>
      </c>
      <c r="AD202" s="48" t="n">
        <f aca="false">G202*$X202</f>
        <v>54</v>
      </c>
      <c r="AE202" s="48" t="n">
        <f aca="false">H202*$X202</f>
        <v>77.4</v>
      </c>
      <c r="AF202" s="48" t="n">
        <f aca="false">I202*$X202</f>
        <v>0</v>
      </c>
      <c r="AG202" s="48" t="n">
        <f aca="false">J202*$X202</f>
        <v>0</v>
      </c>
      <c r="AH202" s="48" t="n">
        <f aca="false">K202*$X202</f>
        <v>0</v>
      </c>
      <c r="AI202" s="48" t="n">
        <f aca="false">L202*$X202</f>
        <v>0</v>
      </c>
      <c r="AJ202" s="48" t="n">
        <f aca="false">M202*$X202</f>
        <v>0</v>
      </c>
      <c r="AK202" s="48" t="n">
        <f aca="false">N202*$X202</f>
        <v>0</v>
      </c>
      <c r="AL202" s="48" t="n">
        <f aca="false">O202*$X202</f>
        <v>0</v>
      </c>
      <c r="AM202" s="48" t="n">
        <f aca="false">P202*$X202</f>
        <v>0</v>
      </c>
      <c r="AN202" s="48" t="n">
        <f aca="false">Q202*$X202</f>
        <v>0</v>
      </c>
      <c r="AO202" s="48" t="n">
        <f aca="false">R202*$X202</f>
        <v>0</v>
      </c>
      <c r="AP202" s="48" t="n">
        <f aca="false">S202*$X202</f>
        <v>0</v>
      </c>
      <c r="AQ202" s="48" t="n">
        <f aca="false">T202*$X202</f>
        <v>0</v>
      </c>
      <c r="AR202" s="48" t="n">
        <f aca="false">U202*$X202</f>
        <v>0</v>
      </c>
      <c r="AS202" s="48" t="n">
        <f aca="false">V202*$X202</f>
        <v>0</v>
      </c>
      <c r="AT202" s="48" t="n">
        <f aca="false">W202*$X202</f>
        <v>77.4</v>
      </c>
      <c r="AU202" s="48" t="n">
        <f aca="false">X202*$X202</f>
        <v>3.24</v>
      </c>
      <c r="AV202" s="48" t="n">
        <f aca="false">Y202*$X202</f>
        <v>38.88</v>
      </c>
      <c r="AW202" s="48" t="n">
        <f aca="false">Z202*$X202</f>
        <v>0</v>
      </c>
      <c r="AX202" s="48" t="n">
        <f aca="false">AA202*$X202</f>
        <v>0</v>
      </c>
      <c r="AY202" s="48" t="n">
        <f aca="false">AB202*$X202</f>
        <v>3.24</v>
      </c>
      <c r="AZ202" s="48" t="n">
        <f aca="false">AC202*$X202</f>
        <v>0</v>
      </c>
      <c r="BA202" s="1"/>
      <c r="BB202" s="1"/>
      <c r="BC202" s="1"/>
      <c r="BD202" s="1"/>
      <c r="BE202" s="1"/>
      <c r="BF202" s="1"/>
    </row>
    <row r="203" s="48" customFormat="true" ht="15" hidden="false" customHeight="true" outlineLevel="0" collapsed="false">
      <c r="A203" s="42" t="s">
        <v>272</v>
      </c>
      <c r="B203" s="42" t="n">
        <v>8</v>
      </c>
      <c r="C203" s="43"/>
      <c r="D203" s="44"/>
      <c r="E203" s="44" t="n">
        <v>30</v>
      </c>
      <c r="F203" s="44"/>
      <c r="G203" s="44"/>
      <c r="H203" s="44" t="n">
        <f aca="false">B203+D203+E203+F203+G203+C203</f>
        <v>38</v>
      </c>
      <c r="I203" s="45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7" t="n">
        <f aca="false">J203+K203+L203+M203+N203+O203+P203+Q203+R203+S203+T203+U203</f>
        <v>0</v>
      </c>
      <c r="W203" s="47" t="n">
        <f aca="false">H203-V203</f>
        <v>38</v>
      </c>
      <c r="X203" s="48" t="n">
        <v>2.7</v>
      </c>
      <c r="Y203" s="48" t="n">
        <f aca="false">B203*$X203</f>
        <v>21.6</v>
      </c>
      <c r="Z203" s="48" t="n">
        <f aca="false">C203*$X203</f>
        <v>0</v>
      </c>
      <c r="AA203" s="48" t="n">
        <f aca="false">D203*$X203</f>
        <v>0</v>
      </c>
      <c r="AB203" s="48" t="n">
        <f aca="false">E203*$X203</f>
        <v>81</v>
      </c>
      <c r="AC203" s="48" t="n">
        <f aca="false">F203*$X203</f>
        <v>0</v>
      </c>
      <c r="AD203" s="48" t="n">
        <f aca="false">G203*$X203</f>
        <v>0</v>
      </c>
      <c r="AE203" s="48" t="n">
        <f aca="false">H203*$X203</f>
        <v>102.6</v>
      </c>
      <c r="AF203" s="48" t="n">
        <f aca="false">I203*$X203</f>
        <v>0</v>
      </c>
      <c r="AG203" s="48" t="n">
        <f aca="false">J203*$X203</f>
        <v>0</v>
      </c>
      <c r="AH203" s="48" t="n">
        <f aca="false">K203*$X203</f>
        <v>0</v>
      </c>
      <c r="AI203" s="48" t="n">
        <f aca="false">L203*$X203</f>
        <v>0</v>
      </c>
      <c r="AJ203" s="48" t="n">
        <f aca="false">M203*$X203</f>
        <v>0</v>
      </c>
      <c r="AK203" s="48" t="n">
        <f aca="false">N203*$X203</f>
        <v>0</v>
      </c>
      <c r="AL203" s="48" t="n">
        <f aca="false">O203*$X203</f>
        <v>0</v>
      </c>
      <c r="AM203" s="48" t="n">
        <f aca="false">P203*$X203</f>
        <v>0</v>
      </c>
      <c r="AN203" s="48" t="n">
        <f aca="false">Q203*$X203</f>
        <v>0</v>
      </c>
      <c r="AO203" s="48" t="n">
        <f aca="false">R203*$X203</f>
        <v>0</v>
      </c>
      <c r="AP203" s="48" t="n">
        <f aca="false">S203*$X203</f>
        <v>0</v>
      </c>
      <c r="AQ203" s="48" t="n">
        <f aca="false">T203*$X203</f>
        <v>0</v>
      </c>
      <c r="AR203" s="48" t="n">
        <f aca="false">U203*$X203</f>
        <v>0</v>
      </c>
      <c r="AS203" s="48" t="n">
        <f aca="false">V203*$X203</f>
        <v>0</v>
      </c>
      <c r="AT203" s="48" t="n">
        <f aca="false">W203*$X203</f>
        <v>102.6</v>
      </c>
      <c r="AU203" s="48" t="n">
        <f aca="false">X203*$X203</f>
        <v>7.29</v>
      </c>
      <c r="AV203" s="48" t="n">
        <f aca="false">Y203*$X203</f>
        <v>58.32</v>
      </c>
      <c r="AW203" s="48" t="n">
        <f aca="false">Z203*$X203</f>
        <v>0</v>
      </c>
      <c r="AX203" s="48" t="n">
        <f aca="false">AA203*$X203</f>
        <v>0</v>
      </c>
      <c r="AY203" s="48" t="n">
        <f aca="false">AB203*$X203</f>
        <v>218.7</v>
      </c>
      <c r="AZ203" s="48" t="n">
        <f aca="false">AC203*$X203</f>
        <v>0</v>
      </c>
      <c r="BA203" s="1"/>
      <c r="BB203" s="1"/>
      <c r="BC203" s="1"/>
      <c r="BD203" s="1"/>
      <c r="BE203" s="1"/>
      <c r="BF203" s="1"/>
    </row>
    <row r="204" s="48" customFormat="true" ht="15" hidden="false" customHeight="true" outlineLevel="0" collapsed="false">
      <c r="A204" s="42" t="s">
        <v>273</v>
      </c>
      <c r="B204" s="42" t="n">
        <v>189</v>
      </c>
      <c r="C204" s="43"/>
      <c r="D204" s="44"/>
      <c r="E204" s="44" t="n">
        <v>2</v>
      </c>
      <c r="F204" s="44"/>
      <c r="G204" s="44" t="n">
        <v>19</v>
      </c>
      <c r="H204" s="44" t="n">
        <f aca="false">B204+D204+E204+F204+G204+C204</f>
        <v>210</v>
      </c>
      <c r="I204" s="45"/>
      <c r="J204" s="49"/>
      <c r="K204" s="49" t="n">
        <v>120</v>
      </c>
      <c r="L204" s="49"/>
      <c r="M204" s="49"/>
      <c r="N204" s="49"/>
      <c r="O204" s="49"/>
      <c r="P204" s="49"/>
      <c r="Q204" s="49"/>
      <c r="R204" s="49"/>
      <c r="S204" s="49"/>
      <c r="T204" s="49"/>
      <c r="U204" s="49" t="n">
        <v>6</v>
      </c>
      <c r="V204" s="47" t="n">
        <f aca="false">J204+K204+L204+M204+N204+O204+P204+Q204+R204+S204+T204+U204</f>
        <v>126</v>
      </c>
      <c r="W204" s="47" t="n">
        <f aca="false">H204-V204</f>
        <v>84</v>
      </c>
      <c r="X204" s="48" t="n">
        <v>3.6</v>
      </c>
      <c r="Y204" s="48" t="n">
        <f aca="false">B204*$X204</f>
        <v>680.4</v>
      </c>
      <c r="Z204" s="48" t="n">
        <f aca="false">C204*$X204</f>
        <v>0</v>
      </c>
      <c r="AA204" s="48" t="n">
        <f aca="false">D204*$X204</f>
        <v>0</v>
      </c>
      <c r="AB204" s="48" t="n">
        <f aca="false">E204*$X204</f>
        <v>7.2</v>
      </c>
      <c r="AC204" s="48" t="n">
        <f aca="false">F204*$X204</f>
        <v>0</v>
      </c>
      <c r="AD204" s="48" t="n">
        <f aca="false">G204*$X204</f>
        <v>68.4</v>
      </c>
      <c r="AE204" s="48" t="n">
        <f aca="false">H204*$X204</f>
        <v>756</v>
      </c>
      <c r="AF204" s="48" t="n">
        <f aca="false">I204*$X204</f>
        <v>0</v>
      </c>
      <c r="AG204" s="48" t="n">
        <f aca="false">J204*$X204</f>
        <v>0</v>
      </c>
      <c r="AH204" s="48" t="n">
        <f aca="false">K204*$X204</f>
        <v>432</v>
      </c>
      <c r="AI204" s="48" t="n">
        <f aca="false">L204*$X204</f>
        <v>0</v>
      </c>
      <c r="AJ204" s="48" t="n">
        <f aca="false">M204*$X204</f>
        <v>0</v>
      </c>
      <c r="AK204" s="48" t="n">
        <f aca="false">N204*$X204</f>
        <v>0</v>
      </c>
      <c r="AL204" s="48" t="n">
        <f aca="false">O204*$X204</f>
        <v>0</v>
      </c>
      <c r="AM204" s="48" t="n">
        <f aca="false">P204*$X204</f>
        <v>0</v>
      </c>
      <c r="AN204" s="48" t="n">
        <f aca="false">Q204*$X204</f>
        <v>0</v>
      </c>
      <c r="AO204" s="48" t="n">
        <f aca="false">R204*$X204</f>
        <v>0</v>
      </c>
      <c r="AP204" s="48" t="n">
        <f aca="false">S204*$X204</f>
        <v>0</v>
      </c>
      <c r="AQ204" s="48" t="n">
        <f aca="false">T204*$X204</f>
        <v>0</v>
      </c>
      <c r="AR204" s="48" t="n">
        <f aca="false">U204*$X204</f>
        <v>21.6</v>
      </c>
      <c r="AS204" s="48" t="n">
        <f aca="false">V204*$X204</f>
        <v>453.6</v>
      </c>
      <c r="AT204" s="48" t="n">
        <f aca="false">W204*$X204</f>
        <v>302.4</v>
      </c>
      <c r="AU204" s="48" t="n">
        <f aca="false">X204*$X204</f>
        <v>12.96</v>
      </c>
      <c r="AV204" s="48" t="n">
        <f aca="false">Y204*$X204</f>
        <v>2449.44</v>
      </c>
      <c r="AW204" s="48" t="n">
        <f aca="false">Z204*$X204</f>
        <v>0</v>
      </c>
      <c r="AX204" s="48" t="n">
        <f aca="false">AA204*$X204</f>
        <v>0</v>
      </c>
      <c r="AY204" s="48" t="n">
        <f aca="false">AB204*$X204</f>
        <v>25.92</v>
      </c>
      <c r="AZ204" s="48" t="n">
        <f aca="false">AC204*$X204</f>
        <v>0</v>
      </c>
      <c r="BA204" s="1"/>
      <c r="BB204" s="1"/>
      <c r="BC204" s="1"/>
      <c r="BD204" s="1"/>
      <c r="BE204" s="1"/>
      <c r="BF204" s="1"/>
    </row>
    <row r="205" s="54" customFormat="true" ht="15" hidden="false" customHeight="true" outlineLevel="0" collapsed="false">
      <c r="A205" s="42" t="s">
        <v>274</v>
      </c>
      <c r="B205" s="42" t="n">
        <v>1</v>
      </c>
      <c r="C205" s="50"/>
      <c r="D205" s="51"/>
      <c r="E205" s="51" t="n">
        <v>50</v>
      </c>
      <c r="F205" s="51" t="n">
        <v>1</v>
      </c>
      <c r="G205" s="51" t="n">
        <v>5</v>
      </c>
      <c r="H205" s="44" t="n">
        <f aca="false">B205+D205+E205+F205+G205+C205</f>
        <v>57</v>
      </c>
      <c r="I205" s="52"/>
      <c r="J205" s="53"/>
      <c r="K205" s="49" t="n">
        <v>63</v>
      </c>
      <c r="L205" s="53"/>
      <c r="M205" s="53"/>
      <c r="N205" s="49" t="n">
        <v>0</v>
      </c>
      <c r="O205" s="53"/>
      <c r="P205" s="53"/>
      <c r="Q205" s="53"/>
      <c r="R205" s="53"/>
      <c r="S205" s="53"/>
      <c r="T205" s="53"/>
      <c r="U205" s="53"/>
      <c r="V205" s="47" t="n">
        <f aca="false">J205+K205+L205+M205+N205+O205+P205+Q205+R205+S205+T205+U205</f>
        <v>63</v>
      </c>
      <c r="W205" s="47" t="n">
        <f aca="false">H205-V205</f>
        <v>-6</v>
      </c>
      <c r="X205" s="54" t="n">
        <v>4.5</v>
      </c>
      <c r="Y205" s="48" t="n">
        <f aca="false">B205*$X205</f>
        <v>4.5</v>
      </c>
      <c r="Z205" s="48" t="n">
        <f aca="false">C205*$X205</f>
        <v>0</v>
      </c>
      <c r="AA205" s="48" t="n">
        <f aca="false">D205*$X205</f>
        <v>0</v>
      </c>
      <c r="AB205" s="48" t="n">
        <f aca="false">E205*$X205</f>
        <v>225</v>
      </c>
      <c r="AC205" s="48" t="n">
        <f aca="false">F205*$X205</f>
        <v>4.5</v>
      </c>
      <c r="AD205" s="48" t="n">
        <f aca="false">G205*$X205</f>
        <v>22.5</v>
      </c>
      <c r="AE205" s="48" t="n">
        <f aca="false">H205*$X205</f>
        <v>256.5</v>
      </c>
      <c r="AF205" s="48" t="n">
        <f aca="false">I205*$X205</f>
        <v>0</v>
      </c>
      <c r="AG205" s="48" t="n">
        <f aca="false">J205*$X205</f>
        <v>0</v>
      </c>
      <c r="AH205" s="48" t="n">
        <f aca="false">K205*$X205</f>
        <v>283.5</v>
      </c>
      <c r="AI205" s="48" t="n">
        <f aca="false">L205*$X205</f>
        <v>0</v>
      </c>
      <c r="AJ205" s="48" t="n">
        <f aca="false">M205*$X205</f>
        <v>0</v>
      </c>
      <c r="AK205" s="48" t="n">
        <f aca="false">N205*$X205</f>
        <v>0</v>
      </c>
      <c r="AL205" s="48" t="n">
        <f aca="false">O205*$X205</f>
        <v>0</v>
      </c>
      <c r="AM205" s="48" t="n">
        <f aca="false">P205*$X205</f>
        <v>0</v>
      </c>
      <c r="AN205" s="48" t="n">
        <f aca="false">Q205*$X205</f>
        <v>0</v>
      </c>
      <c r="AO205" s="48" t="n">
        <f aca="false">R205*$X205</f>
        <v>0</v>
      </c>
      <c r="AP205" s="48" t="n">
        <f aca="false">S205*$X205</f>
        <v>0</v>
      </c>
      <c r="AQ205" s="48" t="n">
        <f aca="false">T205*$X205</f>
        <v>0</v>
      </c>
      <c r="AR205" s="48" t="n">
        <f aca="false">U205*$X205</f>
        <v>0</v>
      </c>
      <c r="AS205" s="48" t="n">
        <f aca="false">V205*$X205</f>
        <v>283.5</v>
      </c>
      <c r="AT205" s="48" t="n">
        <f aca="false">W205*$X205</f>
        <v>-27</v>
      </c>
      <c r="AU205" s="48" t="n">
        <f aca="false">X205*$X205</f>
        <v>20.25</v>
      </c>
      <c r="AV205" s="48" t="n">
        <f aca="false">Y205*$X205</f>
        <v>20.25</v>
      </c>
      <c r="AW205" s="48" t="n">
        <f aca="false">Z205*$X205</f>
        <v>0</v>
      </c>
      <c r="AX205" s="48" t="n">
        <f aca="false">AA205*$X205</f>
        <v>0</v>
      </c>
      <c r="AY205" s="48" t="n">
        <f aca="false">AB205*$X205</f>
        <v>1012.5</v>
      </c>
      <c r="AZ205" s="48" t="n">
        <f aca="false">AC205*$X205</f>
        <v>20.25</v>
      </c>
      <c r="BA205" s="1"/>
      <c r="BB205" s="1"/>
      <c r="BC205" s="1"/>
      <c r="BD205" s="1"/>
      <c r="BE205" s="1"/>
      <c r="BF205" s="1"/>
    </row>
    <row r="206" s="48" customFormat="true" ht="15" hidden="false" customHeight="true" outlineLevel="0" collapsed="false">
      <c r="A206" s="42" t="s">
        <v>275</v>
      </c>
      <c r="B206" s="42" t="n">
        <v>380</v>
      </c>
      <c r="C206" s="43"/>
      <c r="D206" s="44"/>
      <c r="E206" s="44" t="n">
        <v>6</v>
      </c>
      <c r="F206" s="44"/>
      <c r="G206" s="44" t="n">
        <v>171</v>
      </c>
      <c r="H206" s="44" t="n">
        <f aca="false">B206+D206+E206+F206+G206+C206</f>
        <v>557</v>
      </c>
      <c r="I206" s="45"/>
      <c r="J206" s="49" t="n">
        <v>5</v>
      </c>
      <c r="K206" s="49" t="n">
        <v>36</v>
      </c>
      <c r="L206" s="49"/>
      <c r="M206" s="49"/>
      <c r="N206" s="49" t="n">
        <v>42</v>
      </c>
      <c r="O206" s="49" t="n">
        <v>50</v>
      </c>
      <c r="P206" s="49"/>
      <c r="Q206" s="49"/>
      <c r="R206" s="49"/>
      <c r="S206" s="49"/>
      <c r="T206" s="49"/>
      <c r="U206" s="49" t="n">
        <v>2</v>
      </c>
      <c r="V206" s="47" t="n">
        <f aca="false">J206+K206+L206+M206+N206+O206+P206+Q206+R206+S206+T206+U206</f>
        <v>135</v>
      </c>
      <c r="W206" s="47" t="n">
        <f aca="false">H206-V206</f>
        <v>422</v>
      </c>
      <c r="X206" s="48" t="n">
        <v>5.4</v>
      </c>
      <c r="Y206" s="48" t="n">
        <f aca="false">B206*$X206</f>
        <v>2052</v>
      </c>
      <c r="Z206" s="48" t="n">
        <f aca="false">C206*$X206</f>
        <v>0</v>
      </c>
      <c r="AA206" s="48" t="n">
        <f aca="false">D206*$X206</f>
        <v>0</v>
      </c>
      <c r="AB206" s="48" t="n">
        <f aca="false">E206*$X206</f>
        <v>32.4</v>
      </c>
      <c r="AC206" s="48" t="n">
        <f aca="false">F206*$X206</f>
        <v>0</v>
      </c>
      <c r="AD206" s="48" t="n">
        <f aca="false">G206*$X206</f>
        <v>923.4</v>
      </c>
      <c r="AE206" s="48" t="n">
        <f aca="false">H206*$X206</f>
        <v>3007.8</v>
      </c>
      <c r="AF206" s="48" t="n">
        <f aca="false">I206*$X206</f>
        <v>0</v>
      </c>
      <c r="AG206" s="48" t="n">
        <f aca="false">J206*$X206</f>
        <v>27</v>
      </c>
      <c r="AH206" s="48" t="n">
        <f aca="false">K206*$X206</f>
        <v>194.4</v>
      </c>
      <c r="AI206" s="48" t="n">
        <f aca="false">L206*$X206</f>
        <v>0</v>
      </c>
      <c r="AJ206" s="48" t="n">
        <f aca="false">M206*$X206</f>
        <v>0</v>
      </c>
      <c r="AK206" s="48" t="n">
        <f aca="false">N206*$X206</f>
        <v>226.8</v>
      </c>
      <c r="AL206" s="48" t="n">
        <f aca="false">O206*$X206</f>
        <v>270</v>
      </c>
      <c r="AM206" s="48" t="n">
        <f aca="false">P206*$X206</f>
        <v>0</v>
      </c>
      <c r="AN206" s="48" t="n">
        <f aca="false">Q206*$X206</f>
        <v>0</v>
      </c>
      <c r="AO206" s="48" t="n">
        <f aca="false">R206*$X206</f>
        <v>0</v>
      </c>
      <c r="AP206" s="48" t="n">
        <f aca="false">S206*$X206</f>
        <v>0</v>
      </c>
      <c r="AQ206" s="48" t="n">
        <f aca="false">T206*$X206</f>
        <v>0</v>
      </c>
      <c r="AR206" s="48" t="n">
        <f aca="false">U206*$X206</f>
        <v>10.8</v>
      </c>
      <c r="AS206" s="48" t="n">
        <f aca="false">V206*$X206</f>
        <v>729</v>
      </c>
      <c r="AT206" s="48" t="n">
        <f aca="false">W206*$X206</f>
        <v>2278.8</v>
      </c>
      <c r="AU206" s="48" t="n">
        <f aca="false">X206*$X206</f>
        <v>29.16</v>
      </c>
      <c r="AV206" s="48" t="n">
        <f aca="false">Y206*$X206</f>
        <v>11080.8</v>
      </c>
      <c r="AW206" s="48" t="n">
        <f aca="false">Z206*$X206</f>
        <v>0</v>
      </c>
      <c r="AX206" s="48" t="n">
        <f aca="false">AA206*$X206</f>
        <v>0</v>
      </c>
      <c r="AY206" s="48" t="n">
        <f aca="false">AB206*$X206</f>
        <v>174.96</v>
      </c>
      <c r="AZ206" s="48" t="n">
        <f aca="false">AC206*$X206</f>
        <v>0</v>
      </c>
      <c r="BA206" s="1"/>
      <c r="BB206" s="1"/>
      <c r="BC206" s="1"/>
      <c r="BD206" s="1"/>
      <c r="BE206" s="1"/>
      <c r="BF206" s="1"/>
    </row>
    <row r="207" s="48" customFormat="true" ht="15" hidden="false" customHeight="true" outlineLevel="0" collapsed="false">
      <c r="A207" s="42" t="s">
        <v>276</v>
      </c>
      <c r="B207" s="42" t="n">
        <v>147</v>
      </c>
      <c r="C207" s="43"/>
      <c r="D207" s="44"/>
      <c r="E207" s="44"/>
      <c r="F207" s="44"/>
      <c r="G207" s="44" t="n">
        <v>4</v>
      </c>
      <c r="H207" s="44" t="n">
        <f aca="false">B207+D207+E207+F207+G207+C207</f>
        <v>151</v>
      </c>
      <c r="I207" s="45"/>
      <c r="J207" s="49"/>
      <c r="K207" s="49"/>
      <c r="L207" s="49"/>
      <c r="M207" s="49"/>
      <c r="N207" s="49" t="n">
        <v>15</v>
      </c>
      <c r="O207" s="49" t="n">
        <v>5</v>
      </c>
      <c r="P207" s="49"/>
      <c r="Q207" s="49"/>
      <c r="R207" s="49"/>
      <c r="S207" s="49"/>
      <c r="T207" s="49"/>
      <c r="U207" s="49" t="n">
        <v>22</v>
      </c>
      <c r="V207" s="47" t="n">
        <f aca="false">J207+K207+L207+M207+N207+O207+P207+Q207+R207+S207+T207+U207</f>
        <v>42</v>
      </c>
      <c r="W207" s="47" t="n">
        <f aca="false">H207-V207</f>
        <v>109</v>
      </c>
      <c r="X207" s="48" t="n">
        <v>6.3</v>
      </c>
      <c r="Y207" s="48" t="n">
        <f aca="false">B207*$X207</f>
        <v>926.1</v>
      </c>
      <c r="Z207" s="48" t="n">
        <f aca="false">C207*$X207</f>
        <v>0</v>
      </c>
      <c r="AA207" s="48" t="n">
        <f aca="false">D207*$X207</f>
        <v>0</v>
      </c>
      <c r="AB207" s="48" t="n">
        <f aca="false">E207*$X207</f>
        <v>0</v>
      </c>
      <c r="AC207" s="48" t="n">
        <f aca="false">F207*$X207</f>
        <v>0</v>
      </c>
      <c r="AD207" s="48" t="n">
        <f aca="false">G207*$X207</f>
        <v>25.2</v>
      </c>
      <c r="AE207" s="48" t="n">
        <f aca="false">H207*$X207</f>
        <v>951.3</v>
      </c>
      <c r="AF207" s="48" t="n">
        <f aca="false">I207*$X207</f>
        <v>0</v>
      </c>
      <c r="AG207" s="48" t="n">
        <f aca="false">J207*$X207</f>
        <v>0</v>
      </c>
      <c r="AH207" s="48" t="n">
        <f aca="false">K207*$X207</f>
        <v>0</v>
      </c>
      <c r="AI207" s="48" t="n">
        <f aca="false">L207*$X207</f>
        <v>0</v>
      </c>
      <c r="AJ207" s="48" t="n">
        <f aca="false">M207*$X207</f>
        <v>0</v>
      </c>
      <c r="AK207" s="48" t="n">
        <f aca="false">N207*$X207</f>
        <v>94.5</v>
      </c>
      <c r="AL207" s="48" t="n">
        <f aca="false">O207*$X207</f>
        <v>31.5</v>
      </c>
      <c r="AM207" s="48" t="n">
        <f aca="false">P207*$X207</f>
        <v>0</v>
      </c>
      <c r="AN207" s="48" t="n">
        <f aca="false">Q207*$X207</f>
        <v>0</v>
      </c>
      <c r="AO207" s="48" t="n">
        <f aca="false">R207*$X207</f>
        <v>0</v>
      </c>
      <c r="AP207" s="48" t="n">
        <f aca="false">S207*$X207</f>
        <v>0</v>
      </c>
      <c r="AQ207" s="48" t="n">
        <f aca="false">T207*$X207</f>
        <v>0</v>
      </c>
      <c r="AR207" s="48" t="n">
        <f aca="false">U207*$X207</f>
        <v>138.6</v>
      </c>
      <c r="AS207" s="48" t="n">
        <f aca="false">V207*$X207</f>
        <v>264.6</v>
      </c>
      <c r="AT207" s="48" t="n">
        <f aca="false">W207*$X207</f>
        <v>686.7</v>
      </c>
      <c r="AU207" s="48" t="n">
        <f aca="false">X207*$X207</f>
        <v>39.69</v>
      </c>
      <c r="AV207" s="48" t="n">
        <f aca="false">Y207*$X207</f>
        <v>5834.43</v>
      </c>
      <c r="AW207" s="48" t="n">
        <f aca="false">Z207*$X207</f>
        <v>0</v>
      </c>
      <c r="AX207" s="48" t="n">
        <f aca="false">AA207*$X207</f>
        <v>0</v>
      </c>
      <c r="AY207" s="48" t="n">
        <f aca="false">AB207*$X207</f>
        <v>0</v>
      </c>
      <c r="AZ207" s="48" t="n">
        <f aca="false">AC207*$X207</f>
        <v>0</v>
      </c>
      <c r="BA207" s="1"/>
      <c r="BB207" s="1"/>
      <c r="BC207" s="1"/>
      <c r="BD207" s="1"/>
      <c r="BE207" s="1"/>
      <c r="BF207" s="1"/>
    </row>
    <row r="208" s="48" customFormat="true" ht="15" hidden="false" customHeight="true" outlineLevel="0" collapsed="false">
      <c r="A208" s="42" t="s">
        <v>277</v>
      </c>
      <c r="B208" s="42" t="n">
        <v>347</v>
      </c>
      <c r="C208" s="43"/>
      <c r="D208" s="44"/>
      <c r="E208" s="44" t="n">
        <v>14</v>
      </c>
      <c r="F208" s="44" t="n">
        <v>2</v>
      </c>
      <c r="G208" s="44" t="n">
        <v>8</v>
      </c>
      <c r="H208" s="44" t="n">
        <f aca="false">B208+D208+E208+F208+G208+C208</f>
        <v>371</v>
      </c>
      <c r="I208" s="45"/>
      <c r="J208" s="49"/>
      <c r="K208" s="49"/>
      <c r="L208" s="49"/>
      <c r="M208" s="49"/>
      <c r="N208" s="49" t="n">
        <v>21</v>
      </c>
      <c r="O208" s="49" t="n">
        <v>5</v>
      </c>
      <c r="P208" s="49"/>
      <c r="Q208" s="49"/>
      <c r="R208" s="49"/>
      <c r="S208" s="49"/>
      <c r="T208" s="49"/>
      <c r="U208" s="49" t="n">
        <v>2</v>
      </c>
      <c r="V208" s="47" t="n">
        <f aca="false">J208+K208+L208+M208+N208+O208+P208+Q208+R208+S208+T208+U208</f>
        <v>28</v>
      </c>
      <c r="W208" s="47" t="n">
        <f aca="false">H208-V208</f>
        <v>343</v>
      </c>
      <c r="X208" s="48" t="n">
        <v>7.2</v>
      </c>
      <c r="Y208" s="48" t="n">
        <f aca="false">B208*$X208</f>
        <v>2498.4</v>
      </c>
      <c r="Z208" s="48" t="n">
        <f aca="false">C208*$X208</f>
        <v>0</v>
      </c>
      <c r="AA208" s="48" t="n">
        <f aca="false">D208*$X208</f>
        <v>0</v>
      </c>
      <c r="AB208" s="48" t="n">
        <f aca="false">E208*$X208</f>
        <v>100.8</v>
      </c>
      <c r="AC208" s="48" t="n">
        <f aca="false">F208*$X208</f>
        <v>14.4</v>
      </c>
      <c r="AD208" s="48" t="n">
        <f aca="false">G208*$X208</f>
        <v>57.6</v>
      </c>
      <c r="AE208" s="48" t="n">
        <f aca="false">H208*$X208</f>
        <v>2671.2</v>
      </c>
      <c r="AF208" s="48" t="n">
        <f aca="false">I208*$X208</f>
        <v>0</v>
      </c>
      <c r="AG208" s="48" t="n">
        <f aca="false">J208*$X208</f>
        <v>0</v>
      </c>
      <c r="AH208" s="48" t="n">
        <f aca="false">K208*$X208</f>
        <v>0</v>
      </c>
      <c r="AI208" s="48" t="n">
        <f aca="false">L208*$X208</f>
        <v>0</v>
      </c>
      <c r="AJ208" s="48" t="n">
        <f aca="false">M208*$X208</f>
        <v>0</v>
      </c>
      <c r="AK208" s="48" t="n">
        <f aca="false">N208*$X208</f>
        <v>151.2</v>
      </c>
      <c r="AL208" s="48" t="n">
        <f aca="false">O208*$X208</f>
        <v>36</v>
      </c>
      <c r="AM208" s="48" t="n">
        <f aca="false">P208*$X208</f>
        <v>0</v>
      </c>
      <c r="AN208" s="48" t="n">
        <f aca="false">Q208*$X208</f>
        <v>0</v>
      </c>
      <c r="AO208" s="48" t="n">
        <f aca="false">R208*$X208</f>
        <v>0</v>
      </c>
      <c r="AP208" s="48" t="n">
        <f aca="false">S208*$X208</f>
        <v>0</v>
      </c>
      <c r="AQ208" s="48" t="n">
        <f aca="false">T208*$X208</f>
        <v>0</v>
      </c>
      <c r="AR208" s="48" t="n">
        <f aca="false">U208*$X208</f>
        <v>14.4</v>
      </c>
      <c r="AS208" s="48" t="n">
        <f aca="false">V208*$X208</f>
        <v>201.6</v>
      </c>
      <c r="AT208" s="48" t="n">
        <f aca="false">W208*$X208</f>
        <v>2469.6</v>
      </c>
      <c r="AU208" s="48" t="n">
        <f aca="false">X208*$X208</f>
        <v>51.84</v>
      </c>
      <c r="AV208" s="48" t="n">
        <f aca="false">Y208*$X208</f>
        <v>17988.48</v>
      </c>
      <c r="AW208" s="48" t="n">
        <f aca="false">Z208*$X208</f>
        <v>0</v>
      </c>
      <c r="AX208" s="48" t="n">
        <f aca="false">AA208*$X208</f>
        <v>0</v>
      </c>
      <c r="AY208" s="48" t="n">
        <f aca="false">AB208*$X208</f>
        <v>725.76</v>
      </c>
      <c r="AZ208" s="48" t="n">
        <f aca="false">AC208*$X208</f>
        <v>103.68</v>
      </c>
      <c r="BA208" s="1"/>
      <c r="BB208" s="1"/>
      <c r="BC208" s="1"/>
      <c r="BD208" s="1"/>
      <c r="BE208" s="1"/>
      <c r="BF208" s="1"/>
    </row>
    <row r="209" s="48" customFormat="true" ht="15" hidden="false" customHeight="true" outlineLevel="0" collapsed="false">
      <c r="A209" s="42" t="s">
        <v>278</v>
      </c>
      <c r="B209" s="42" t="n">
        <v>13</v>
      </c>
      <c r="C209" s="43"/>
      <c r="D209" s="44"/>
      <c r="E209" s="44"/>
      <c r="F209" s="44"/>
      <c r="G209" s="44"/>
      <c r="H209" s="44" t="n">
        <f aca="false">B209+D209+E209+F209+G209+C209</f>
        <v>13</v>
      </c>
      <c r="I209" s="45"/>
      <c r="J209" s="49"/>
      <c r="K209" s="49"/>
      <c r="L209" s="49"/>
      <c r="M209" s="49"/>
      <c r="N209" s="49" t="n">
        <v>2</v>
      </c>
      <c r="O209" s="49" t="n">
        <v>10</v>
      </c>
      <c r="P209" s="49"/>
      <c r="Q209" s="49"/>
      <c r="R209" s="49"/>
      <c r="S209" s="49"/>
      <c r="T209" s="49"/>
      <c r="U209" s="49" t="n">
        <v>3</v>
      </c>
      <c r="V209" s="47" t="n">
        <f aca="false">J209+K209+L209+M209+N209+O209+P209+Q209+R209+S209+T209+U209</f>
        <v>15</v>
      </c>
      <c r="W209" s="47" t="n">
        <f aca="false">H209-V209</f>
        <v>-2</v>
      </c>
      <c r="X209" s="48" t="n">
        <v>8.1</v>
      </c>
      <c r="Y209" s="48" t="n">
        <f aca="false">B209*$X209</f>
        <v>105.3</v>
      </c>
      <c r="Z209" s="48" t="n">
        <f aca="false">C209*$X209</f>
        <v>0</v>
      </c>
      <c r="AA209" s="48" t="n">
        <f aca="false">D209*$X209</f>
        <v>0</v>
      </c>
      <c r="AB209" s="48" t="n">
        <f aca="false">E209*$X209</f>
        <v>0</v>
      </c>
      <c r="AC209" s="48" t="n">
        <f aca="false">F209*$X209</f>
        <v>0</v>
      </c>
      <c r="AD209" s="48" t="n">
        <f aca="false">G209*$X209</f>
        <v>0</v>
      </c>
      <c r="AE209" s="48" t="n">
        <f aca="false">H209*$X209</f>
        <v>105.3</v>
      </c>
      <c r="AF209" s="48" t="n">
        <f aca="false">I209*$X209</f>
        <v>0</v>
      </c>
      <c r="AG209" s="48" t="n">
        <f aca="false">J209*$X209</f>
        <v>0</v>
      </c>
      <c r="AH209" s="48" t="n">
        <f aca="false">K209*$X209</f>
        <v>0</v>
      </c>
      <c r="AI209" s="48" t="n">
        <f aca="false">L209*$X209</f>
        <v>0</v>
      </c>
      <c r="AJ209" s="48" t="n">
        <f aca="false">M209*$X209</f>
        <v>0</v>
      </c>
      <c r="AK209" s="48" t="n">
        <f aca="false">N209*$X209</f>
        <v>16.2</v>
      </c>
      <c r="AL209" s="48" t="n">
        <f aca="false">O209*$X209</f>
        <v>81</v>
      </c>
      <c r="AM209" s="48" t="n">
        <f aca="false">P209*$X209</f>
        <v>0</v>
      </c>
      <c r="AN209" s="48" t="n">
        <f aca="false">Q209*$X209</f>
        <v>0</v>
      </c>
      <c r="AO209" s="48" t="n">
        <f aca="false">R209*$X209</f>
        <v>0</v>
      </c>
      <c r="AP209" s="48" t="n">
        <f aca="false">S209*$X209</f>
        <v>0</v>
      </c>
      <c r="AQ209" s="48" t="n">
        <f aca="false">T209*$X209</f>
        <v>0</v>
      </c>
      <c r="AR209" s="48" t="n">
        <f aca="false">U209*$X209</f>
        <v>24.3</v>
      </c>
      <c r="AS209" s="48" t="n">
        <f aca="false">V209*$X209</f>
        <v>121.5</v>
      </c>
      <c r="AT209" s="48" t="n">
        <f aca="false">W209*$X209</f>
        <v>-16.2</v>
      </c>
      <c r="AU209" s="48" t="n">
        <f aca="false">X209*$X209</f>
        <v>65.61</v>
      </c>
      <c r="AV209" s="48" t="n">
        <f aca="false">Y209*$X209</f>
        <v>852.93</v>
      </c>
      <c r="AW209" s="48" t="n">
        <f aca="false">Z209*$X209</f>
        <v>0</v>
      </c>
      <c r="AX209" s="48" t="n">
        <f aca="false">AA209*$X209</f>
        <v>0</v>
      </c>
      <c r="AY209" s="48" t="n">
        <f aca="false">AB209*$X209</f>
        <v>0</v>
      </c>
      <c r="AZ209" s="48" t="n">
        <f aca="false">AC209*$X209</f>
        <v>0</v>
      </c>
      <c r="BA209" s="1"/>
      <c r="BB209" s="1"/>
      <c r="BC209" s="1"/>
      <c r="BD209" s="1"/>
      <c r="BE209" s="1"/>
      <c r="BF209" s="1"/>
    </row>
    <row r="210" s="48" customFormat="true" ht="15" hidden="false" customHeight="true" outlineLevel="0" collapsed="false">
      <c r="A210" s="42" t="s">
        <v>279</v>
      </c>
      <c r="B210" s="42" t="n">
        <v>1</v>
      </c>
      <c r="C210" s="43"/>
      <c r="D210" s="44"/>
      <c r="E210" s="44" t="n">
        <v>39</v>
      </c>
      <c r="F210" s="44"/>
      <c r="G210" s="44"/>
      <c r="H210" s="44" t="n">
        <f aca="false">B210+D210+E210+F210+G210+C210</f>
        <v>40</v>
      </c>
      <c r="I210" s="45"/>
      <c r="J210" s="49"/>
      <c r="K210" s="49"/>
      <c r="L210" s="49"/>
      <c r="M210" s="49"/>
      <c r="N210" s="49"/>
      <c r="O210" s="49" t="n">
        <v>15</v>
      </c>
      <c r="P210" s="49"/>
      <c r="Q210" s="49"/>
      <c r="R210" s="49"/>
      <c r="S210" s="49"/>
      <c r="T210" s="49"/>
      <c r="U210" s="49" t="n">
        <v>1</v>
      </c>
      <c r="V210" s="47" t="n">
        <f aca="false">J210+K210+L210+M210+N210+O210+P210+Q210+R210+S210+T210+U210</f>
        <v>16</v>
      </c>
      <c r="W210" s="47" t="n">
        <f aca="false">H210-V210</f>
        <v>24</v>
      </c>
      <c r="X210" s="48" t="n">
        <v>9</v>
      </c>
      <c r="Y210" s="48" t="n">
        <f aca="false">B210*$X210</f>
        <v>9</v>
      </c>
      <c r="Z210" s="48" t="n">
        <f aca="false">C210*$X210</f>
        <v>0</v>
      </c>
      <c r="AA210" s="48" t="n">
        <f aca="false">D210*$X210</f>
        <v>0</v>
      </c>
      <c r="AB210" s="48" t="n">
        <f aca="false">E210*$X210</f>
        <v>351</v>
      </c>
      <c r="AC210" s="48" t="n">
        <f aca="false">F210*$X210</f>
        <v>0</v>
      </c>
      <c r="AD210" s="48" t="n">
        <f aca="false">G210*$X210</f>
        <v>0</v>
      </c>
      <c r="AE210" s="48" t="n">
        <f aca="false">H210*$X210</f>
        <v>360</v>
      </c>
      <c r="AF210" s="48" t="n">
        <f aca="false">I210*$X210</f>
        <v>0</v>
      </c>
      <c r="AG210" s="48" t="n">
        <f aca="false">J210*$X210</f>
        <v>0</v>
      </c>
      <c r="AH210" s="48" t="n">
        <f aca="false">K210*$X210</f>
        <v>0</v>
      </c>
      <c r="AI210" s="48" t="n">
        <f aca="false">L210*$X210</f>
        <v>0</v>
      </c>
      <c r="AJ210" s="48" t="n">
        <f aca="false">M210*$X210</f>
        <v>0</v>
      </c>
      <c r="AK210" s="48" t="n">
        <f aca="false">N210*$X210</f>
        <v>0</v>
      </c>
      <c r="AL210" s="48" t="n">
        <f aca="false">O210*$X210</f>
        <v>135</v>
      </c>
      <c r="AM210" s="48" t="n">
        <f aca="false">P210*$X210</f>
        <v>0</v>
      </c>
      <c r="AN210" s="48" t="n">
        <f aca="false">Q210*$X210</f>
        <v>0</v>
      </c>
      <c r="AO210" s="48" t="n">
        <f aca="false">R210*$X210</f>
        <v>0</v>
      </c>
      <c r="AP210" s="48" t="n">
        <f aca="false">S210*$X210</f>
        <v>0</v>
      </c>
      <c r="AQ210" s="48" t="n">
        <f aca="false">T210*$X210</f>
        <v>0</v>
      </c>
      <c r="AR210" s="48" t="n">
        <f aca="false">U210*$X210</f>
        <v>9</v>
      </c>
      <c r="AS210" s="48" t="n">
        <f aca="false">V210*$X210</f>
        <v>144</v>
      </c>
      <c r="AT210" s="48" t="n">
        <f aca="false">W210*$X210</f>
        <v>216</v>
      </c>
      <c r="AU210" s="48" t="n">
        <f aca="false">X210*$X210</f>
        <v>81</v>
      </c>
      <c r="AV210" s="48" t="n">
        <f aca="false">Y210*$X210</f>
        <v>81</v>
      </c>
      <c r="AW210" s="48" t="n">
        <f aca="false">Z210*$X210</f>
        <v>0</v>
      </c>
      <c r="AX210" s="48" t="n">
        <f aca="false">AA210*$X210</f>
        <v>0</v>
      </c>
      <c r="AY210" s="48" t="n">
        <f aca="false">AB210*$X210</f>
        <v>3159</v>
      </c>
      <c r="AZ210" s="48" t="n">
        <f aca="false">AC210*$X210</f>
        <v>0</v>
      </c>
      <c r="BA210" s="1"/>
      <c r="BB210" s="1"/>
      <c r="BC210" s="1"/>
      <c r="BD210" s="1"/>
      <c r="BE210" s="1"/>
      <c r="BF210" s="1"/>
    </row>
    <row r="211" s="48" customFormat="true" ht="15" hidden="false" customHeight="true" outlineLevel="0" collapsed="false">
      <c r="A211" s="42" t="s">
        <v>280</v>
      </c>
      <c r="B211" s="42" t="n">
        <v>0</v>
      </c>
      <c r="C211" s="43"/>
      <c r="D211" s="44" t="n">
        <v>49</v>
      </c>
      <c r="E211" s="44"/>
      <c r="F211" s="44"/>
      <c r="G211" s="44"/>
      <c r="H211" s="44" t="n">
        <f aca="false">B211+D211+E211+F211+G211+C211</f>
        <v>49</v>
      </c>
      <c r="I211" s="45"/>
      <c r="J211" s="49"/>
      <c r="K211" s="49"/>
      <c r="L211" s="49"/>
      <c r="M211" s="49"/>
      <c r="N211" s="49"/>
      <c r="O211" s="49" t="n">
        <v>10</v>
      </c>
      <c r="P211" s="49"/>
      <c r="Q211" s="49"/>
      <c r="R211" s="49"/>
      <c r="S211" s="49"/>
      <c r="T211" s="49"/>
      <c r="U211" s="49"/>
      <c r="V211" s="47" t="n">
        <f aca="false">J211+K211+L211+M211+N211+O211+P211+Q211+R211+S211+T211+U211</f>
        <v>10</v>
      </c>
      <c r="W211" s="47" t="n">
        <f aca="false">H211-V211</f>
        <v>39</v>
      </c>
      <c r="X211" s="48" t="n">
        <v>9.9</v>
      </c>
      <c r="Y211" s="48" t="n">
        <f aca="false">B211*$X211</f>
        <v>0</v>
      </c>
      <c r="Z211" s="48" t="n">
        <f aca="false">C211*$X211</f>
        <v>0</v>
      </c>
      <c r="AA211" s="48" t="n">
        <f aca="false">D211*$X211</f>
        <v>485.1</v>
      </c>
      <c r="AB211" s="48" t="n">
        <f aca="false">E211*$X211</f>
        <v>0</v>
      </c>
      <c r="AC211" s="48" t="n">
        <f aca="false">F211*$X211</f>
        <v>0</v>
      </c>
      <c r="AD211" s="48" t="n">
        <f aca="false">G211*$X211</f>
        <v>0</v>
      </c>
      <c r="AE211" s="48" t="n">
        <f aca="false">H211*$X211</f>
        <v>485.1</v>
      </c>
      <c r="AF211" s="48" t="n">
        <f aca="false">I211*$X211</f>
        <v>0</v>
      </c>
      <c r="AG211" s="48" t="n">
        <f aca="false">J211*$X211</f>
        <v>0</v>
      </c>
      <c r="AH211" s="48" t="n">
        <f aca="false">K211*$X211</f>
        <v>0</v>
      </c>
      <c r="AI211" s="48" t="n">
        <f aca="false">L211*$X211</f>
        <v>0</v>
      </c>
      <c r="AJ211" s="48" t="n">
        <f aca="false">M211*$X211</f>
        <v>0</v>
      </c>
      <c r="AK211" s="48" t="n">
        <f aca="false">N211*$X211</f>
        <v>0</v>
      </c>
      <c r="AL211" s="48" t="n">
        <f aca="false">O211*$X211</f>
        <v>99</v>
      </c>
      <c r="AM211" s="48" t="n">
        <f aca="false">P211*$X211</f>
        <v>0</v>
      </c>
      <c r="AN211" s="48" t="n">
        <f aca="false">Q211*$X211</f>
        <v>0</v>
      </c>
      <c r="AO211" s="48" t="n">
        <f aca="false">R211*$X211</f>
        <v>0</v>
      </c>
      <c r="AP211" s="48" t="n">
        <f aca="false">S211*$X211</f>
        <v>0</v>
      </c>
      <c r="AQ211" s="48" t="n">
        <f aca="false">T211*$X211</f>
        <v>0</v>
      </c>
      <c r="AR211" s="48" t="n">
        <f aca="false">U211*$X211</f>
        <v>0</v>
      </c>
      <c r="AS211" s="48" t="n">
        <f aca="false">V211*$X211</f>
        <v>99</v>
      </c>
      <c r="AT211" s="48" t="n">
        <f aca="false">W211*$X211</f>
        <v>386.1</v>
      </c>
      <c r="AU211" s="48" t="n">
        <f aca="false">X211*$X211</f>
        <v>98.01</v>
      </c>
      <c r="AV211" s="48" t="n">
        <f aca="false">Y211*$X211</f>
        <v>0</v>
      </c>
      <c r="AW211" s="48" t="n">
        <f aca="false">Z211*$X211</f>
        <v>0</v>
      </c>
      <c r="AX211" s="48" t="n">
        <f aca="false">AA211*$X211</f>
        <v>4802.49</v>
      </c>
      <c r="AY211" s="48" t="n">
        <f aca="false">AB211*$X211</f>
        <v>0</v>
      </c>
      <c r="AZ211" s="48" t="n">
        <f aca="false">AC211*$X211</f>
        <v>0</v>
      </c>
      <c r="BA211" s="1"/>
      <c r="BB211" s="1"/>
      <c r="BC211" s="1"/>
      <c r="BD211" s="1"/>
      <c r="BE211" s="1"/>
      <c r="BF211" s="1"/>
    </row>
    <row r="212" s="48" customFormat="true" ht="15" hidden="false" customHeight="true" outlineLevel="0" collapsed="false">
      <c r="A212" s="42" t="s">
        <v>281</v>
      </c>
      <c r="B212" s="42" t="n">
        <v>10</v>
      </c>
      <c r="C212" s="43"/>
      <c r="D212" s="44"/>
      <c r="E212" s="44"/>
      <c r="F212" s="44"/>
      <c r="G212" s="44" t="n">
        <v>35</v>
      </c>
      <c r="H212" s="44" t="n">
        <f aca="false">B212+D212+E212+F212+G212+C212</f>
        <v>45</v>
      </c>
      <c r="I212" s="45"/>
      <c r="J212" s="49"/>
      <c r="K212" s="49"/>
      <c r="L212" s="49"/>
      <c r="M212" s="49"/>
      <c r="N212" s="49"/>
      <c r="O212" s="49" t="n">
        <v>35</v>
      </c>
      <c r="P212" s="49"/>
      <c r="Q212" s="49"/>
      <c r="R212" s="49"/>
      <c r="S212" s="49"/>
      <c r="T212" s="49"/>
      <c r="U212" s="49"/>
      <c r="V212" s="47" t="n">
        <f aca="false">J212+K212+L212+M212+N212+O212+P212+Q212+R212+S212+T212+U212</f>
        <v>35</v>
      </c>
      <c r="W212" s="47" t="n">
        <f aca="false">H212-V212</f>
        <v>10</v>
      </c>
      <c r="X212" s="48" t="n">
        <v>10.8</v>
      </c>
      <c r="Y212" s="48" t="n">
        <f aca="false">B212*$X212</f>
        <v>108</v>
      </c>
      <c r="Z212" s="48" t="n">
        <f aca="false">C212*$X212</f>
        <v>0</v>
      </c>
      <c r="AA212" s="48" t="n">
        <f aca="false">D212*$X212</f>
        <v>0</v>
      </c>
      <c r="AB212" s="48" t="n">
        <f aca="false">E212*$X212</f>
        <v>0</v>
      </c>
      <c r="AC212" s="48" t="n">
        <f aca="false">F212*$X212</f>
        <v>0</v>
      </c>
      <c r="AD212" s="48" t="n">
        <f aca="false">G212*$X212</f>
        <v>378</v>
      </c>
      <c r="AE212" s="48" t="n">
        <f aca="false">H212*$X212</f>
        <v>486</v>
      </c>
      <c r="AF212" s="48" t="n">
        <f aca="false">I212*$X212</f>
        <v>0</v>
      </c>
      <c r="AG212" s="48" t="n">
        <f aca="false">J212*$X212</f>
        <v>0</v>
      </c>
      <c r="AH212" s="48" t="n">
        <f aca="false">K212*$X212</f>
        <v>0</v>
      </c>
      <c r="AI212" s="48" t="n">
        <f aca="false">L212*$X212</f>
        <v>0</v>
      </c>
      <c r="AJ212" s="48" t="n">
        <f aca="false">M212*$X212</f>
        <v>0</v>
      </c>
      <c r="AK212" s="48" t="n">
        <f aca="false">N212*$X212</f>
        <v>0</v>
      </c>
      <c r="AL212" s="48" t="n">
        <f aca="false">O212*$X212</f>
        <v>378</v>
      </c>
      <c r="AM212" s="48" t="n">
        <f aca="false">P212*$X212</f>
        <v>0</v>
      </c>
      <c r="AN212" s="48" t="n">
        <f aca="false">Q212*$X212</f>
        <v>0</v>
      </c>
      <c r="AO212" s="48" t="n">
        <f aca="false">R212*$X212</f>
        <v>0</v>
      </c>
      <c r="AP212" s="48" t="n">
        <f aca="false">S212*$X212</f>
        <v>0</v>
      </c>
      <c r="AQ212" s="48" t="n">
        <f aca="false">T212*$X212</f>
        <v>0</v>
      </c>
      <c r="AR212" s="48" t="n">
        <f aca="false">U212*$X212</f>
        <v>0</v>
      </c>
      <c r="AS212" s="48" t="n">
        <f aca="false">V212*$X212</f>
        <v>378</v>
      </c>
      <c r="AT212" s="48" t="n">
        <f aca="false">W212*$X212</f>
        <v>108</v>
      </c>
      <c r="AU212" s="48" t="n">
        <f aca="false">X212*$X212</f>
        <v>116.64</v>
      </c>
      <c r="AV212" s="48" t="n">
        <f aca="false">Y212*$X212</f>
        <v>1166.4</v>
      </c>
      <c r="AW212" s="48" t="n">
        <f aca="false">Z212*$X212</f>
        <v>0</v>
      </c>
      <c r="AX212" s="48" t="n">
        <f aca="false">AA212*$X212</f>
        <v>0</v>
      </c>
      <c r="AY212" s="48" t="n">
        <f aca="false">AB212*$X212</f>
        <v>0</v>
      </c>
      <c r="AZ212" s="48" t="n">
        <f aca="false">AC212*$X212</f>
        <v>0</v>
      </c>
      <c r="BA212" s="1"/>
      <c r="BB212" s="1"/>
      <c r="BC212" s="1"/>
      <c r="BD212" s="1"/>
      <c r="BE212" s="1"/>
      <c r="BF212" s="1"/>
    </row>
    <row r="213" s="48" customFormat="true" ht="15" hidden="false" customHeight="true" outlineLevel="0" collapsed="false">
      <c r="A213" s="42" t="s">
        <v>282</v>
      </c>
      <c r="B213" s="42" t="n">
        <v>3</v>
      </c>
      <c r="C213" s="43"/>
      <c r="D213" s="44"/>
      <c r="E213" s="44" t="n">
        <v>17</v>
      </c>
      <c r="F213" s="44"/>
      <c r="G213" s="44"/>
      <c r="H213" s="44" t="n">
        <f aca="false">B213+D213+E213+F213+G213+C213</f>
        <v>20</v>
      </c>
      <c r="I213" s="45"/>
      <c r="J213" s="49" t="n">
        <v>5</v>
      </c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7" t="n">
        <f aca="false">J213+K213+L213+M213+N213+O213+P213+Q213+R213+S213+T213+U213</f>
        <v>5</v>
      </c>
      <c r="W213" s="47" t="n">
        <f aca="false">H213-V213</f>
        <v>15</v>
      </c>
      <c r="X213" s="48" t="n">
        <v>11.7</v>
      </c>
      <c r="Y213" s="48" t="n">
        <f aca="false">B213*$X213</f>
        <v>35.1</v>
      </c>
      <c r="Z213" s="48" t="n">
        <f aca="false">C213*$X213</f>
        <v>0</v>
      </c>
      <c r="AA213" s="48" t="n">
        <f aca="false">D213*$X213</f>
        <v>0</v>
      </c>
      <c r="AB213" s="48" t="n">
        <f aca="false">E213*$X213</f>
        <v>198.9</v>
      </c>
      <c r="AC213" s="48" t="n">
        <f aca="false">F213*$X213</f>
        <v>0</v>
      </c>
      <c r="AD213" s="48" t="n">
        <f aca="false">G213*$X213</f>
        <v>0</v>
      </c>
      <c r="AE213" s="48" t="n">
        <f aca="false">H213*$X213</f>
        <v>234</v>
      </c>
      <c r="AF213" s="48" t="n">
        <f aca="false">I213*$X213</f>
        <v>0</v>
      </c>
      <c r="AG213" s="48" t="n">
        <f aca="false">J213*$X213</f>
        <v>58.5</v>
      </c>
      <c r="AH213" s="48" t="n">
        <f aca="false">K213*$X213</f>
        <v>0</v>
      </c>
      <c r="AI213" s="48" t="n">
        <f aca="false">L213*$X213</f>
        <v>0</v>
      </c>
      <c r="AJ213" s="48" t="n">
        <f aca="false">M213*$X213</f>
        <v>0</v>
      </c>
      <c r="AK213" s="48" t="n">
        <f aca="false">N213*$X213</f>
        <v>0</v>
      </c>
      <c r="AL213" s="48" t="n">
        <f aca="false">O213*$X213</f>
        <v>0</v>
      </c>
      <c r="AM213" s="48" t="n">
        <f aca="false">P213*$X213</f>
        <v>0</v>
      </c>
      <c r="AN213" s="48" t="n">
        <f aca="false">Q213*$X213</f>
        <v>0</v>
      </c>
      <c r="AO213" s="48" t="n">
        <f aca="false">R213*$X213</f>
        <v>0</v>
      </c>
      <c r="AP213" s="48" t="n">
        <f aca="false">S213*$X213</f>
        <v>0</v>
      </c>
      <c r="AQ213" s="48" t="n">
        <f aca="false">T213*$X213</f>
        <v>0</v>
      </c>
      <c r="AR213" s="48" t="n">
        <f aca="false">U213*$X213</f>
        <v>0</v>
      </c>
      <c r="AS213" s="48" t="n">
        <f aca="false">V213*$X213</f>
        <v>58.5</v>
      </c>
      <c r="AT213" s="48" t="n">
        <f aca="false">W213*$X213</f>
        <v>175.5</v>
      </c>
      <c r="AU213" s="48" t="n">
        <f aca="false">X213*$X213</f>
        <v>136.89</v>
      </c>
      <c r="AV213" s="48" t="n">
        <f aca="false">Y213*$X213</f>
        <v>410.67</v>
      </c>
      <c r="AW213" s="48" t="n">
        <f aca="false">Z213*$X213</f>
        <v>0</v>
      </c>
      <c r="AX213" s="48" t="n">
        <f aca="false">AA213*$X213</f>
        <v>0</v>
      </c>
      <c r="AY213" s="48" t="n">
        <f aca="false">AB213*$X213</f>
        <v>2327.13</v>
      </c>
      <c r="AZ213" s="48" t="n">
        <f aca="false">AC213*$X213</f>
        <v>0</v>
      </c>
      <c r="BA213" s="1"/>
      <c r="BB213" s="1"/>
      <c r="BC213" s="1"/>
      <c r="BD213" s="1"/>
      <c r="BE213" s="1"/>
      <c r="BF213" s="1"/>
    </row>
    <row r="214" s="48" customFormat="true" ht="15" hidden="false" customHeight="true" outlineLevel="0" collapsed="false">
      <c r="A214" s="42" t="s">
        <v>283</v>
      </c>
      <c r="B214" s="42" t="n">
        <v>1</v>
      </c>
      <c r="C214" s="43"/>
      <c r="D214" s="44"/>
      <c r="E214" s="44"/>
      <c r="F214" s="44"/>
      <c r="G214" s="44"/>
      <c r="H214" s="44" t="n">
        <f aca="false">B214+D214+E214+F214+G214+C214</f>
        <v>1</v>
      </c>
      <c r="I214" s="45"/>
      <c r="J214" s="49" t="n">
        <v>25</v>
      </c>
      <c r="K214" s="49"/>
      <c r="L214" s="49"/>
      <c r="M214" s="49"/>
      <c r="N214" s="49"/>
      <c r="O214" s="49" t="n">
        <v>5</v>
      </c>
      <c r="P214" s="49"/>
      <c r="Q214" s="49"/>
      <c r="R214" s="49"/>
      <c r="S214" s="49"/>
      <c r="T214" s="49"/>
      <c r="U214" s="49"/>
      <c r="V214" s="47" t="n">
        <f aca="false">J214+K214+L214+M214+N214+O214+P214+Q214+R214+S214+T214+U214</f>
        <v>30</v>
      </c>
      <c r="W214" s="47" t="n">
        <f aca="false">H214-V214</f>
        <v>-29</v>
      </c>
      <c r="X214" s="48" t="n">
        <v>12.6</v>
      </c>
      <c r="Y214" s="48" t="n">
        <f aca="false">B214*$X214</f>
        <v>12.6</v>
      </c>
      <c r="Z214" s="48" t="n">
        <f aca="false">C214*$X214</f>
        <v>0</v>
      </c>
      <c r="AA214" s="48" t="n">
        <f aca="false">D214*$X214</f>
        <v>0</v>
      </c>
      <c r="AB214" s="48" t="n">
        <f aca="false">E214*$X214</f>
        <v>0</v>
      </c>
      <c r="AC214" s="48" t="n">
        <f aca="false">F214*$X214</f>
        <v>0</v>
      </c>
      <c r="AD214" s="48" t="n">
        <f aca="false">G214*$X214</f>
        <v>0</v>
      </c>
      <c r="AE214" s="48" t="n">
        <f aca="false">H214*$X214</f>
        <v>12.6</v>
      </c>
      <c r="AF214" s="48" t="n">
        <f aca="false">I214*$X214</f>
        <v>0</v>
      </c>
      <c r="AG214" s="48" t="n">
        <f aca="false">J214*$X214</f>
        <v>315</v>
      </c>
      <c r="AH214" s="48" t="n">
        <f aca="false">K214*$X214</f>
        <v>0</v>
      </c>
      <c r="AI214" s="48" t="n">
        <f aca="false">L214*$X214</f>
        <v>0</v>
      </c>
      <c r="AJ214" s="48" t="n">
        <f aca="false">M214*$X214</f>
        <v>0</v>
      </c>
      <c r="AK214" s="48" t="n">
        <f aca="false">N214*$X214</f>
        <v>0</v>
      </c>
      <c r="AL214" s="48" t="n">
        <f aca="false">O214*$X214</f>
        <v>63</v>
      </c>
      <c r="AM214" s="48" t="n">
        <f aca="false">P214*$X214</f>
        <v>0</v>
      </c>
      <c r="AN214" s="48" t="n">
        <f aca="false">Q214*$X214</f>
        <v>0</v>
      </c>
      <c r="AO214" s="48" t="n">
        <f aca="false">R214*$X214</f>
        <v>0</v>
      </c>
      <c r="AP214" s="48" t="n">
        <f aca="false">S214*$X214</f>
        <v>0</v>
      </c>
      <c r="AQ214" s="48" t="n">
        <f aca="false">T214*$X214</f>
        <v>0</v>
      </c>
      <c r="AR214" s="48" t="n">
        <f aca="false">U214*$X214</f>
        <v>0</v>
      </c>
      <c r="AS214" s="48" t="n">
        <f aca="false">V214*$X214</f>
        <v>378</v>
      </c>
      <c r="AT214" s="48" t="n">
        <f aca="false">W214*$X214</f>
        <v>-365.4</v>
      </c>
      <c r="AU214" s="48" t="n">
        <f aca="false">X214*$X214</f>
        <v>158.76</v>
      </c>
      <c r="AV214" s="48" t="n">
        <f aca="false">Y214*$X214</f>
        <v>158.76</v>
      </c>
      <c r="AW214" s="48" t="n">
        <f aca="false">Z214*$X214</f>
        <v>0</v>
      </c>
      <c r="AX214" s="48" t="n">
        <f aca="false">AA214*$X214</f>
        <v>0</v>
      </c>
      <c r="AY214" s="48" t="n">
        <f aca="false">AB214*$X214</f>
        <v>0</v>
      </c>
      <c r="AZ214" s="48" t="n">
        <f aca="false">AC214*$X214</f>
        <v>0</v>
      </c>
      <c r="BA214" s="1"/>
      <c r="BB214" s="1"/>
      <c r="BC214" s="1"/>
      <c r="BD214" s="1"/>
      <c r="BE214" s="1"/>
      <c r="BF214" s="1"/>
    </row>
    <row r="215" s="48" customFormat="true" ht="15" hidden="false" customHeight="true" outlineLevel="0" collapsed="false">
      <c r="A215" s="42" t="s">
        <v>284</v>
      </c>
      <c r="B215" s="42" t="n">
        <v>0</v>
      </c>
      <c r="C215" s="43"/>
      <c r="D215" s="44"/>
      <c r="E215" s="44"/>
      <c r="F215" s="44"/>
      <c r="G215" s="44"/>
      <c r="H215" s="44" t="n">
        <f aca="false">B215+D215+E215+F215+G215+C215</f>
        <v>0</v>
      </c>
      <c r="I215" s="45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7" t="n">
        <f aca="false">J215+K215+L215+M215+N215+O215+P215+Q215+R215+S215+T215+U215</f>
        <v>0</v>
      </c>
      <c r="W215" s="47" t="n">
        <f aca="false">H215-V215</f>
        <v>0</v>
      </c>
      <c r="X215" s="48" t="n">
        <v>13.5</v>
      </c>
      <c r="Y215" s="48" t="n">
        <f aca="false">B215*$X215</f>
        <v>0</v>
      </c>
      <c r="Z215" s="48" t="n">
        <f aca="false">C215*$X215</f>
        <v>0</v>
      </c>
      <c r="AA215" s="48" t="n">
        <f aca="false">D215*$X215</f>
        <v>0</v>
      </c>
      <c r="AB215" s="48" t="n">
        <f aca="false">E215*$X215</f>
        <v>0</v>
      </c>
      <c r="AC215" s="48" t="n">
        <f aca="false">F215*$X215</f>
        <v>0</v>
      </c>
      <c r="AD215" s="48" t="n">
        <f aca="false">G215*$X215</f>
        <v>0</v>
      </c>
      <c r="AE215" s="48" t="n">
        <f aca="false">H215*$X215</f>
        <v>0</v>
      </c>
      <c r="AF215" s="48" t="n">
        <f aca="false">I215*$X215</f>
        <v>0</v>
      </c>
      <c r="AG215" s="48" t="n">
        <f aca="false">J215*$X215</f>
        <v>0</v>
      </c>
      <c r="AH215" s="48" t="n">
        <f aca="false">K215*$X215</f>
        <v>0</v>
      </c>
      <c r="AI215" s="48" t="n">
        <f aca="false">L215*$X215</f>
        <v>0</v>
      </c>
      <c r="AJ215" s="48" t="n">
        <f aca="false">M215*$X215</f>
        <v>0</v>
      </c>
      <c r="AK215" s="48" t="n">
        <f aca="false">N215*$X215</f>
        <v>0</v>
      </c>
      <c r="AL215" s="48" t="n">
        <f aca="false">O215*$X215</f>
        <v>0</v>
      </c>
      <c r="AM215" s="48" t="n">
        <f aca="false">P215*$X215</f>
        <v>0</v>
      </c>
      <c r="AN215" s="48" t="n">
        <f aca="false">Q215*$X215</f>
        <v>0</v>
      </c>
      <c r="AO215" s="48" t="n">
        <f aca="false">R215*$X215</f>
        <v>0</v>
      </c>
      <c r="AP215" s="48" t="n">
        <f aca="false">S215*$X215</f>
        <v>0</v>
      </c>
      <c r="AQ215" s="48" t="n">
        <f aca="false">T215*$X215</f>
        <v>0</v>
      </c>
      <c r="AR215" s="48" t="n">
        <f aca="false">U215*$X215</f>
        <v>0</v>
      </c>
      <c r="AS215" s="48" t="n">
        <f aca="false">V215*$X215</f>
        <v>0</v>
      </c>
      <c r="AT215" s="48" t="n">
        <f aca="false">W215*$X215</f>
        <v>0</v>
      </c>
      <c r="AU215" s="48" t="n">
        <f aca="false">X215*$X215</f>
        <v>182.25</v>
      </c>
      <c r="AV215" s="48" t="n">
        <f aca="false">Y215*$X215</f>
        <v>0</v>
      </c>
      <c r="AW215" s="48" t="n">
        <f aca="false">Z215*$X215</f>
        <v>0</v>
      </c>
      <c r="AX215" s="48" t="n">
        <f aca="false">AA215*$X215</f>
        <v>0</v>
      </c>
      <c r="AY215" s="48" t="n">
        <f aca="false">AB215*$X215</f>
        <v>0</v>
      </c>
      <c r="AZ215" s="48" t="n">
        <f aca="false">AC215*$X215</f>
        <v>0</v>
      </c>
      <c r="BA215" s="1"/>
      <c r="BB215" s="1"/>
      <c r="BC215" s="1"/>
      <c r="BD215" s="1"/>
      <c r="BE215" s="1"/>
      <c r="BF215" s="1"/>
    </row>
    <row r="216" s="48" customFormat="true" ht="15" hidden="false" customHeight="true" outlineLevel="0" collapsed="false">
      <c r="A216" s="42" t="s">
        <v>285</v>
      </c>
      <c r="B216" s="42" t="n">
        <v>0</v>
      </c>
      <c r="C216" s="43"/>
      <c r="D216" s="44"/>
      <c r="E216" s="44"/>
      <c r="F216" s="44" t="n">
        <v>5</v>
      </c>
      <c r="G216" s="44"/>
      <c r="H216" s="44" t="n">
        <f aca="false">B216+D216+E216+F216+G216+C216</f>
        <v>5</v>
      </c>
      <c r="I216" s="45"/>
      <c r="J216" s="49"/>
      <c r="K216" s="49"/>
      <c r="L216" s="49"/>
      <c r="M216" s="49"/>
      <c r="N216" s="49"/>
      <c r="O216" s="49" t="n">
        <v>25</v>
      </c>
      <c r="P216" s="49"/>
      <c r="Q216" s="49"/>
      <c r="R216" s="49"/>
      <c r="S216" s="49"/>
      <c r="T216" s="49"/>
      <c r="U216" s="49"/>
      <c r="V216" s="47" t="n">
        <f aca="false">J216+K216+L216+M216+N216+O216+P216+Q216+R216+S216+T216+U216</f>
        <v>25</v>
      </c>
      <c r="W216" s="47" t="n">
        <f aca="false">H216-V216</f>
        <v>-20</v>
      </c>
      <c r="X216" s="48" t="n">
        <v>14.4</v>
      </c>
      <c r="Y216" s="48" t="n">
        <f aca="false">B216*$X216</f>
        <v>0</v>
      </c>
      <c r="Z216" s="48" t="n">
        <f aca="false">C216*$X216</f>
        <v>0</v>
      </c>
      <c r="AA216" s="48" t="n">
        <f aca="false">D216*$X216</f>
        <v>0</v>
      </c>
      <c r="AB216" s="48" t="n">
        <f aca="false">E216*$X216</f>
        <v>0</v>
      </c>
      <c r="AC216" s="48" t="n">
        <f aca="false">F216*$X216</f>
        <v>72</v>
      </c>
      <c r="AD216" s="48" t="n">
        <f aca="false">G216*$X216</f>
        <v>0</v>
      </c>
      <c r="AE216" s="48" t="n">
        <f aca="false">H216*$X216</f>
        <v>72</v>
      </c>
      <c r="AF216" s="48" t="n">
        <f aca="false">I216*$X216</f>
        <v>0</v>
      </c>
      <c r="AG216" s="48" t="n">
        <f aca="false">J216*$X216</f>
        <v>0</v>
      </c>
      <c r="AH216" s="48" t="n">
        <f aca="false">K216*$X216</f>
        <v>0</v>
      </c>
      <c r="AI216" s="48" t="n">
        <f aca="false">L216*$X216</f>
        <v>0</v>
      </c>
      <c r="AJ216" s="48" t="n">
        <f aca="false">M216*$X216</f>
        <v>0</v>
      </c>
      <c r="AK216" s="48" t="n">
        <f aca="false">N216*$X216</f>
        <v>0</v>
      </c>
      <c r="AL216" s="48" t="n">
        <f aca="false">O216*$X216</f>
        <v>360</v>
      </c>
      <c r="AM216" s="48" t="n">
        <f aca="false">P216*$X216</f>
        <v>0</v>
      </c>
      <c r="AN216" s="48" t="n">
        <f aca="false">Q216*$X216</f>
        <v>0</v>
      </c>
      <c r="AO216" s="48" t="n">
        <f aca="false">R216*$X216</f>
        <v>0</v>
      </c>
      <c r="AP216" s="48" t="n">
        <f aca="false">S216*$X216</f>
        <v>0</v>
      </c>
      <c r="AQ216" s="48" t="n">
        <f aca="false">T216*$X216</f>
        <v>0</v>
      </c>
      <c r="AR216" s="48" t="n">
        <f aca="false">U216*$X216</f>
        <v>0</v>
      </c>
      <c r="AS216" s="48" t="n">
        <f aca="false">V216*$X216</f>
        <v>360</v>
      </c>
      <c r="AT216" s="48" t="n">
        <f aca="false">W216*$X216</f>
        <v>-288</v>
      </c>
      <c r="AU216" s="48" t="n">
        <f aca="false">X216*$X216</f>
        <v>207.36</v>
      </c>
      <c r="AV216" s="48" t="n">
        <f aca="false">Y216*$X216</f>
        <v>0</v>
      </c>
      <c r="AW216" s="48" t="n">
        <f aca="false">Z216*$X216</f>
        <v>0</v>
      </c>
      <c r="AX216" s="48" t="n">
        <f aca="false">AA216*$X216</f>
        <v>0</v>
      </c>
      <c r="AY216" s="48" t="n">
        <f aca="false">AB216*$X216</f>
        <v>0</v>
      </c>
      <c r="AZ216" s="48" t="n">
        <f aca="false">AC216*$X216</f>
        <v>1036.8</v>
      </c>
      <c r="BA216" s="1"/>
      <c r="BB216" s="1"/>
      <c r="BC216" s="1"/>
      <c r="BD216" s="1"/>
      <c r="BE216" s="1"/>
      <c r="BF216" s="1"/>
    </row>
    <row r="217" s="48" customFormat="true" ht="15" hidden="false" customHeight="true" outlineLevel="0" collapsed="false">
      <c r="A217" s="42" t="s">
        <v>286</v>
      </c>
      <c r="B217" s="42" t="n">
        <v>0</v>
      </c>
      <c r="C217" s="43"/>
      <c r="D217" s="44"/>
      <c r="E217" s="44"/>
      <c r="F217" s="44"/>
      <c r="G217" s="44"/>
      <c r="H217" s="44" t="n">
        <f aca="false">B217+D217+E217+F217+G217+C217</f>
        <v>0</v>
      </c>
      <c r="I217" s="45"/>
      <c r="J217" s="49"/>
      <c r="K217" s="49"/>
      <c r="L217" s="49"/>
      <c r="M217" s="49"/>
      <c r="N217" s="49"/>
      <c r="O217" s="49" t="n">
        <v>16</v>
      </c>
      <c r="P217" s="49"/>
      <c r="Q217" s="49"/>
      <c r="R217" s="49"/>
      <c r="S217" s="49"/>
      <c r="T217" s="49"/>
      <c r="U217" s="49"/>
      <c r="V217" s="47" t="n">
        <f aca="false">J217+K217+L217+M217+N217+O217+P217+Q217+R217+S217+T217+U217</f>
        <v>16</v>
      </c>
      <c r="W217" s="47" t="n">
        <f aca="false">H217-V217</f>
        <v>-16</v>
      </c>
      <c r="X217" s="48" t="n">
        <v>16.2</v>
      </c>
      <c r="Y217" s="48" t="n">
        <f aca="false">B217*$X217</f>
        <v>0</v>
      </c>
      <c r="Z217" s="48" t="n">
        <f aca="false">C217*$X217</f>
        <v>0</v>
      </c>
      <c r="AA217" s="48" t="n">
        <f aca="false">D217*$X217</f>
        <v>0</v>
      </c>
      <c r="AB217" s="48" t="n">
        <f aca="false">E217*$X217</f>
        <v>0</v>
      </c>
      <c r="AC217" s="48" t="n">
        <f aca="false">F217*$X217</f>
        <v>0</v>
      </c>
      <c r="AD217" s="48" t="n">
        <f aca="false">G217*$X217</f>
        <v>0</v>
      </c>
      <c r="AE217" s="48" t="n">
        <f aca="false">H217*$X217</f>
        <v>0</v>
      </c>
      <c r="AF217" s="48" t="n">
        <f aca="false">I217*$X217</f>
        <v>0</v>
      </c>
      <c r="AG217" s="48" t="n">
        <f aca="false">J217*$X217</f>
        <v>0</v>
      </c>
      <c r="AH217" s="48" t="n">
        <f aca="false">K217*$X217</f>
        <v>0</v>
      </c>
      <c r="AI217" s="48" t="n">
        <f aca="false">L217*$X217</f>
        <v>0</v>
      </c>
      <c r="AJ217" s="48" t="n">
        <f aca="false">M217*$X217</f>
        <v>0</v>
      </c>
      <c r="AK217" s="48" t="n">
        <f aca="false">N217*$X217</f>
        <v>0</v>
      </c>
      <c r="AL217" s="48" t="n">
        <f aca="false">O217*$X217</f>
        <v>259.2</v>
      </c>
      <c r="AM217" s="48" t="n">
        <f aca="false">P217*$X217</f>
        <v>0</v>
      </c>
      <c r="AN217" s="48" t="n">
        <f aca="false">Q217*$X217</f>
        <v>0</v>
      </c>
      <c r="AO217" s="48" t="n">
        <f aca="false">R217*$X217</f>
        <v>0</v>
      </c>
      <c r="AP217" s="48" t="n">
        <f aca="false">S217*$X217</f>
        <v>0</v>
      </c>
      <c r="AQ217" s="48" t="n">
        <f aca="false">T217*$X217</f>
        <v>0</v>
      </c>
      <c r="AR217" s="48" t="n">
        <f aca="false">U217*$X217</f>
        <v>0</v>
      </c>
      <c r="AS217" s="48" t="n">
        <f aca="false">V217*$X217</f>
        <v>259.2</v>
      </c>
      <c r="AT217" s="48" t="n">
        <f aca="false">W217*$X217</f>
        <v>-259.2</v>
      </c>
      <c r="AU217" s="48" t="n">
        <f aca="false">X217*$X217</f>
        <v>262.44</v>
      </c>
      <c r="AV217" s="48" t="n">
        <f aca="false">Y217*$X217</f>
        <v>0</v>
      </c>
      <c r="AW217" s="48" t="n">
        <f aca="false">Z217*$X217</f>
        <v>0</v>
      </c>
      <c r="AX217" s="48" t="n">
        <f aca="false">AA217*$X217</f>
        <v>0</v>
      </c>
      <c r="AY217" s="48" t="n">
        <f aca="false">AB217*$X217</f>
        <v>0</v>
      </c>
      <c r="AZ217" s="48" t="n">
        <f aca="false">AC217*$X217</f>
        <v>0</v>
      </c>
      <c r="BA217" s="1"/>
      <c r="BB217" s="1"/>
      <c r="BC217" s="1"/>
      <c r="BD217" s="1"/>
      <c r="BE217" s="1"/>
      <c r="BF217" s="1"/>
    </row>
    <row r="218" s="48" customFormat="true" ht="15" hidden="false" customHeight="true" outlineLevel="0" collapsed="false">
      <c r="A218" s="42" t="s">
        <v>287</v>
      </c>
      <c r="B218" s="42" t="n">
        <v>0</v>
      </c>
      <c r="C218" s="43"/>
      <c r="D218" s="44"/>
      <c r="E218" s="44"/>
      <c r="F218" s="44"/>
      <c r="G218" s="44"/>
      <c r="H218" s="44" t="n">
        <f aca="false">B218+D218+E218+F218+G218+C218</f>
        <v>0</v>
      </c>
      <c r="I218" s="45"/>
      <c r="J218" s="49"/>
      <c r="K218" s="49"/>
      <c r="L218" s="49"/>
      <c r="M218" s="49"/>
      <c r="N218" s="49"/>
      <c r="O218" s="49" t="n">
        <v>16</v>
      </c>
      <c r="P218" s="49"/>
      <c r="Q218" s="49"/>
      <c r="R218" s="49"/>
      <c r="S218" s="49"/>
      <c r="T218" s="49"/>
      <c r="U218" s="49"/>
      <c r="V218" s="47" t="n">
        <f aca="false">J218+K218+L218+M218+N218+O218+P218+Q218+R218+S218+T218+U218</f>
        <v>16</v>
      </c>
      <c r="W218" s="47" t="n">
        <f aca="false">H218-V218</f>
        <v>-16</v>
      </c>
      <c r="X218" s="48" t="n">
        <v>21.6</v>
      </c>
      <c r="Y218" s="48" t="n">
        <f aca="false">B218*$X218</f>
        <v>0</v>
      </c>
      <c r="Z218" s="48" t="n">
        <f aca="false">C218*$X218</f>
        <v>0</v>
      </c>
      <c r="AA218" s="48" t="n">
        <f aca="false">D218*$X218</f>
        <v>0</v>
      </c>
      <c r="AB218" s="48" t="n">
        <f aca="false">E218*$X218</f>
        <v>0</v>
      </c>
      <c r="AC218" s="48" t="n">
        <f aca="false">F218*$X218</f>
        <v>0</v>
      </c>
      <c r="AD218" s="48" t="n">
        <f aca="false">G218*$X218</f>
        <v>0</v>
      </c>
      <c r="AE218" s="48" t="n">
        <f aca="false">H218*$X218</f>
        <v>0</v>
      </c>
      <c r="AF218" s="48" t="n">
        <f aca="false">I218*$X218</f>
        <v>0</v>
      </c>
      <c r="AG218" s="48" t="n">
        <f aca="false">J218*$X218</f>
        <v>0</v>
      </c>
      <c r="AH218" s="48" t="n">
        <f aca="false">K218*$X218</f>
        <v>0</v>
      </c>
      <c r="AI218" s="48" t="n">
        <f aca="false">L218*$X218</f>
        <v>0</v>
      </c>
      <c r="AJ218" s="48" t="n">
        <f aca="false">M218*$X218</f>
        <v>0</v>
      </c>
      <c r="AK218" s="48" t="n">
        <f aca="false">N218*$X218</f>
        <v>0</v>
      </c>
      <c r="AL218" s="48" t="n">
        <f aca="false">O218*$X218</f>
        <v>345.6</v>
      </c>
      <c r="AM218" s="48" t="n">
        <f aca="false">P218*$X218</f>
        <v>0</v>
      </c>
      <c r="AN218" s="48" t="n">
        <f aca="false">Q218*$X218</f>
        <v>0</v>
      </c>
      <c r="AO218" s="48" t="n">
        <f aca="false">R218*$X218</f>
        <v>0</v>
      </c>
      <c r="AP218" s="48" t="n">
        <f aca="false">S218*$X218</f>
        <v>0</v>
      </c>
      <c r="AQ218" s="48" t="n">
        <f aca="false">T218*$X218</f>
        <v>0</v>
      </c>
      <c r="AR218" s="48" t="n">
        <f aca="false">U218*$X218</f>
        <v>0</v>
      </c>
      <c r="AS218" s="48" t="n">
        <f aca="false">V218*$X218</f>
        <v>345.6</v>
      </c>
      <c r="AT218" s="48" t="n">
        <f aca="false">W218*$X218</f>
        <v>-345.6</v>
      </c>
      <c r="AU218" s="48" t="n">
        <f aca="false">X218*$X218</f>
        <v>466.56</v>
      </c>
      <c r="AV218" s="48" t="n">
        <f aca="false">Y218*$X218</f>
        <v>0</v>
      </c>
      <c r="AW218" s="48" t="n">
        <f aca="false">Z218*$X218</f>
        <v>0</v>
      </c>
      <c r="AX218" s="48" t="n">
        <f aca="false">AA218*$X218</f>
        <v>0</v>
      </c>
      <c r="AY218" s="48" t="n">
        <f aca="false">AB218*$X218</f>
        <v>0</v>
      </c>
      <c r="AZ218" s="48" t="n">
        <f aca="false">AC218*$X218</f>
        <v>0</v>
      </c>
      <c r="BA218" s="1"/>
      <c r="BB218" s="1"/>
      <c r="BC218" s="1"/>
      <c r="BD218" s="1"/>
      <c r="BE218" s="1"/>
      <c r="BF218" s="1"/>
    </row>
    <row r="219" s="48" customFormat="true" ht="15" hidden="false" customHeight="true" outlineLevel="0" collapsed="false">
      <c r="A219" s="42" t="s">
        <v>288</v>
      </c>
      <c r="B219" s="42" t="n">
        <v>90</v>
      </c>
      <c r="C219" s="43"/>
      <c r="D219" s="44"/>
      <c r="E219" s="44" t="n">
        <v>30</v>
      </c>
      <c r="F219" s="44"/>
      <c r="G219" s="44"/>
      <c r="H219" s="44" t="n">
        <f aca="false">B219+D219+E219+F219+G219+C219</f>
        <v>120</v>
      </c>
      <c r="I219" s="45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7" t="n">
        <f aca="false">J219+K219+L219+M219+N219+O219+P219+Q219+R219+S219+T219+U219</f>
        <v>0</v>
      </c>
      <c r="W219" s="47" t="n">
        <f aca="false">H219-V219</f>
        <v>120</v>
      </c>
      <c r="X219" s="48" t="n">
        <v>0.9</v>
      </c>
      <c r="Y219" s="48" t="n">
        <f aca="false">B219*$X219</f>
        <v>81</v>
      </c>
      <c r="Z219" s="48" t="n">
        <f aca="false">C219*$X219</f>
        <v>0</v>
      </c>
      <c r="AA219" s="48" t="n">
        <f aca="false">D219*$X219</f>
        <v>0</v>
      </c>
      <c r="AB219" s="48" t="n">
        <f aca="false">E219*$X219</f>
        <v>27</v>
      </c>
      <c r="AC219" s="48" t="n">
        <f aca="false">F219*$X219</f>
        <v>0</v>
      </c>
      <c r="AD219" s="48" t="n">
        <f aca="false">G219*$X219</f>
        <v>0</v>
      </c>
      <c r="AE219" s="48" t="n">
        <f aca="false">H219*$X219</f>
        <v>108</v>
      </c>
      <c r="AF219" s="48" t="n">
        <f aca="false">I219*$X219</f>
        <v>0</v>
      </c>
      <c r="AG219" s="48" t="n">
        <f aca="false">J219*$X219</f>
        <v>0</v>
      </c>
      <c r="AH219" s="48" t="n">
        <f aca="false">K219*$X219</f>
        <v>0</v>
      </c>
      <c r="AI219" s="48" t="n">
        <f aca="false">L219*$X219</f>
        <v>0</v>
      </c>
      <c r="AJ219" s="48" t="n">
        <f aca="false">M219*$X219</f>
        <v>0</v>
      </c>
      <c r="AK219" s="48" t="n">
        <f aca="false">N219*$X219</f>
        <v>0</v>
      </c>
      <c r="AL219" s="48" t="n">
        <f aca="false">O219*$X219</f>
        <v>0</v>
      </c>
      <c r="AM219" s="48" t="n">
        <f aca="false">P219*$X219</f>
        <v>0</v>
      </c>
      <c r="AN219" s="48" t="n">
        <f aca="false">Q219*$X219</f>
        <v>0</v>
      </c>
      <c r="AO219" s="48" t="n">
        <f aca="false">R219*$X219</f>
        <v>0</v>
      </c>
      <c r="AP219" s="48" t="n">
        <f aca="false">S219*$X219</f>
        <v>0</v>
      </c>
      <c r="AQ219" s="48" t="n">
        <f aca="false">T219*$X219</f>
        <v>0</v>
      </c>
      <c r="AR219" s="48" t="n">
        <f aca="false">U219*$X219</f>
        <v>0</v>
      </c>
      <c r="AS219" s="48" t="n">
        <f aca="false">V219*$X219</f>
        <v>0</v>
      </c>
      <c r="AT219" s="48" t="n">
        <f aca="false">W219*$X219</f>
        <v>108</v>
      </c>
      <c r="AU219" s="48" t="n">
        <f aca="false">X219*$X219</f>
        <v>0.81</v>
      </c>
      <c r="AV219" s="48" t="n">
        <f aca="false">Y219*$X219</f>
        <v>72.9</v>
      </c>
      <c r="AW219" s="48" t="n">
        <f aca="false">Z219*$X219</f>
        <v>0</v>
      </c>
      <c r="AX219" s="48" t="n">
        <f aca="false">AA219*$X219</f>
        <v>0</v>
      </c>
      <c r="AY219" s="48" t="n">
        <f aca="false">AB219*$X219</f>
        <v>24.3</v>
      </c>
      <c r="AZ219" s="48" t="n">
        <f aca="false">AC219*$X219</f>
        <v>0</v>
      </c>
      <c r="BA219" s="1"/>
      <c r="BB219" s="1"/>
      <c r="BC219" s="1"/>
      <c r="BD219" s="1"/>
      <c r="BE219" s="1"/>
      <c r="BF219" s="1"/>
    </row>
    <row r="220" s="48" customFormat="true" ht="15" hidden="false" customHeight="true" outlineLevel="0" collapsed="false">
      <c r="A220" s="42" t="s">
        <v>289</v>
      </c>
      <c r="B220" s="42" t="n">
        <v>3</v>
      </c>
      <c r="C220" s="43"/>
      <c r="D220" s="44"/>
      <c r="E220" s="44"/>
      <c r="F220" s="44"/>
      <c r="G220" s="44"/>
      <c r="H220" s="44" t="n">
        <f aca="false">B220+D220+E220+F220+G220+C220</f>
        <v>3</v>
      </c>
      <c r="I220" s="45"/>
      <c r="J220" s="49"/>
      <c r="K220" s="49"/>
      <c r="L220" s="49"/>
      <c r="M220" s="49"/>
      <c r="N220" s="49"/>
      <c r="O220" s="49"/>
      <c r="P220" s="49"/>
      <c r="Q220" s="49"/>
      <c r="R220" s="49" t="n">
        <v>3</v>
      </c>
      <c r="S220" s="49"/>
      <c r="T220" s="49"/>
      <c r="U220" s="49"/>
      <c r="V220" s="47" t="n">
        <f aca="false">J220+K220+L220+M220+N220+O220+P220+Q220+R220+S220+T220+U220</f>
        <v>3</v>
      </c>
      <c r="W220" s="47" t="n">
        <f aca="false">H220-V220</f>
        <v>0</v>
      </c>
      <c r="X220" s="48" t="n">
        <v>1.8</v>
      </c>
      <c r="Y220" s="48" t="n">
        <f aca="false">B220*$X220</f>
        <v>5.4</v>
      </c>
      <c r="Z220" s="48" t="n">
        <f aca="false">C220*$X220</f>
        <v>0</v>
      </c>
      <c r="AA220" s="48" t="n">
        <f aca="false">D220*$X220</f>
        <v>0</v>
      </c>
      <c r="AB220" s="48" t="n">
        <f aca="false">E220*$X220</f>
        <v>0</v>
      </c>
      <c r="AC220" s="48" t="n">
        <f aca="false">F220*$X220</f>
        <v>0</v>
      </c>
      <c r="AD220" s="48" t="n">
        <f aca="false">G220*$X220</f>
        <v>0</v>
      </c>
      <c r="AE220" s="48" t="n">
        <f aca="false">H220*$X220</f>
        <v>5.4</v>
      </c>
      <c r="AF220" s="48" t="n">
        <f aca="false">I220*$X220</f>
        <v>0</v>
      </c>
      <c r="AG220" s="48" t="n">
        <f aca="false">J220*$X220</f>
        <v>0</v>
      </c>
      <c r="AH220" s="48" t="n">
        <f aca="false">K220*$X220</f>
        <v>0</v>
      </c>
      <c r="AI220" s="48" t="n">
        <f aca="false">L220*$X220</f>
        <v>0</v>
      </c>
      <c r="AJ220" s="48" t="n">
        <f aca="false">M220*$X220</f>
        <v>0</v>
      </c>
      <c r="AK220" s="48" t="n">
        <f aca="false">N220*$X220</f>
        <v>0</v>
      </c>
      <c r="AL220" s="48" t="n">
        <f aca="false">O220*$X220</f>
        <v>0</v>
      </c>
      <c r="AM220" s="48" t="n">
        <f aca="false">P220*$X220</f>
        <v>0</v>
      </c>
      <c r="AN220" s="48" t="n">
        <f aca="false">Q220*$X220</f>
        <v>0</v>
      </c>
      <c r="AO220" s="48" t="n">
        <f aca="false">R220*$X220</f>
        <v>5.4</v>
      </c>
      <c r="AP220" s="48" t="n">
        <f aca="false">S220*$X220</f>
        <v>0</v>
      </c>
      <c r="AQ220" s="48" t="n">
        <f aca="false">T220*$X220</f>
        <v>0</v>
      </c>
      <c r="AR220" s="48" t="n">
        <f aca="false">U220*$X220</f>
        <v>0</v>
      </c>
      <c r="AS220" s="48" t="n">
        <f aca="false">V220*$X220</f>
        <v>5.4</v>
      </c>
      <c r="AT220" s="48" t="n">
        <f aca="false">W220*$X220</f>
        <v>0</v>
      </c>
      <c r="AU220" s="48" t="n">
        <f aca="false">X220*$X220</f>
        <v>3.24</v>
      </c>
      <c r="AV220" s="48" t="n">
        <f aca="false">Y220*$X220</f>
        <v>9.72</v>
      </c>
      <c r="AW220" s="48" t="n">
        <f aca="false">Z220*$X220</f>
        <v>0</v>
      </c>
      <c r="AX220" s="48" t="n">
        <f aca="false">AA220*$X220</f>
        <v>0</v>
      </c>
      <c r="AY220" s="48" t="n">
        <f aca="false">AB220*$X220</f>
        <v>0</v>
      </c>
      <c r="AZ220" s="48" t="n">
        <f aca="false">AC220*$X220</f>
        <v>0</v>
      </c>
      <c r="BA220" s="1"/>
      <c r="BB220" s="1"/>
      <c r="BC220" s="1"/>
      <c r="BD220" s="1"/>
      <c r="BE220" s="1"/>
      <c r="BF220" s="1"/>
    </row>
    <row r="221" s="48" customFormat="true" ht="15" hidden="false" customHeight="true" outlineLevel="0" collapsed="false">
      <c r="A221" s="42" t="s">
        <v>290</v>
      </c>
      <c r="B221" s="42" t="n">
        <v>18</v>
      </c>
      <c r="C221" s="43"/>
      <c r="D221" s="44"/>
      <c r="E221" s="44"/>
      <c r="F221" s="44"/>
      <c r="G221" s="44"/>
      <c r="H221" s="44" t="n">
        <f aca="false">B221+D221+E221+F221+G221+C221</f>
        <v>18</v>
      </c>
      <c r="I221" s="45"/>
      <c r="J221" s="49"/>
      <c r="K221" s="49"/>
      <c r="L221" s="49"/>
      <c r="M221" s="49"/>
      <c r="N221" s="49"/>
      <c r="O221" s="49"/>
      <c r="P221" s="49"/>
      <c r="Q221" s="49"/>
      <c r="R221" s="49" t="n">
        <v>6</v>
      </c>
      <c r="S221" s="49"/>
      <c r="T221" s="49"/>
      <c r="U221" s="49"/>
      <c r="V221" s="47" t="n">
        <f aca="false">J221+K221+L221+M221+N221+O221+P221+Q221+R221+S221+T221+U221</f>
        <v>6</v>
      </c>
      <c r="W221" s="47" t="n">
        <f aca="false">H221-V221</f>
        <v>12</v>
      </c>
      <c r="X221" s="48" t="n">
        <v>2.7</v>
      </c>
      <c r="Y221" s="48" t="n">
        <f aca="false">B221*$X221</f>
        <v>48.6</v>
      </c>
      <c r="Z221" s="48" t="n">
        <f aca="false">C221*$X221</f>
        <v>0</v>
      </c>
      <c r="AA221" s="48" t="n">
        <f aca="false">D221*$X221</f>
        <v>0</v>
      </c>
      <c r="AB221" s="48" t="n">
        <f aca="false">E221*$X221</f>
        <v>0</v>
      </c>
      <c r="AC221" s="48" t="n">
        <f aca="false">F221*$X221</f>
        <v>0</v>
      </c>
      <c r="AD221" s="48" t="n">
        <f aca="false">G221*$X221</f>
        <v>0</v>
      </c>
      <c r="AE221" s="48" t="n">
        <f aca="false">H221*$X221</f>
        <v>48.6</v>
      </c>
      <c r="AF221" s="48" t="n">
        <f aca="false">I221*$X221</f>
        <v>0</v>
      </c>
      <c r="AG221" s="48" t="n">
        <f aca="false">J221*$X221</f>
        <v>0</v>
      </c>
      <c r="AH221" s="48" t="n">
        <f aca="false">K221*$X221</f>
        <v>0</v>
      </c>
      <c r="AI221" s="48" t="n">
        <f aca="false">L221*$X221</f>
        <v>0</v>
      </c>
      <c r="AJ221" s="48" t="n">
        <f aca="false">M221*$X221</f>
        <v>0</v>
      </c>
      <c r="AK221" s="48" t="n">
        <f aca="false">N221*$X221</f>
        <v>0</v>
      </c>
      <c r="AL221" s="48" t="n">
        <f aca="false">O221*$X221</f>
        <v>0</v>
      </c>
      <c r="AM221" s="48" t="n">
        <f aca="false">P221*$X221</f>
        <v>0</v>
      </c>
      <c r="AN221" s="48" t="n">
        <f aca="false">Q221*$X221</f>
        <v>0</v>
      </c>
      <c r="AO221" s="48" t="n">
        <f aca="false">R221*$X221</f>
        <v>16.2</v>
      </c>
      <c r="AP221" s="48" t="n">
        <f aca="false">S221*$X221</f>
        <v>0</v>
      </c>
      <c r="AQ221" s="48" t="n">
        <f aca="false">T221*$X221</f>
        <v>0</v>
      </c>
      <c r="AR221" s="48" t="n">
        <f aca="false">U221*$X221</f>
        <v>0</v>
      </c>
      <c r="AS221" s="48" t="n">
        <f aca="false">V221*$X221</f>
        <v>16.2</v>
      </c>
      <c r="AT221" s="48" t="n">
        <f aca="false">W221*$X221</f>
        <v>32.4</v>
      </c>
      <c r="AU221" s="48" t="n">
        <f aca="false">X221*$X221</f>
        <v>7.29</v>
      </c>
      <c r="AV221" s="48" t="n">
        <f aca="false">Y221*$X221</f>
        <v>131.22</v>
      </c>
      <c r="AW221" s="48" t="n">
        <f aca="false">Z221*$X221</f>
        <v>0</v>
      </c>
      <c r="AX221" s="48" t="n">
        <f aca="false">AA221*$X221</f>
        <v>0</v>
      </c>
      <c r="AY221" s="48" t="n">
        <f aca="false">AB221*$X221</f>
        <v>0</v>
      </c>
      <c r="AZ221" s="48" t="n">
        <f aca="false">AC221*$X221</f>
        <v>0</v>
      </c>
      <c r="BA221" s="1"/>
      <c r="BB221" s="1"/>
      <c r="BC221" s="1"/>
      <c r="BD221" s="1"/>
      <c r="BE221" s="1"/>
      <c r="BF221" s="1"/>
    </row>
    <row r="222" s="48" customFormat="true" ht="15" hidden="false" customHeight="true" outlineLevel="0" collapsed="false">
      <c r="A222" s="42" t="s">
        <v>291</v>
      </c>
      <c r="B222" s="42" t="n">
        <v>39</v>
      </c>
      <c r="C222" s="43"/>
      <c r="D222" s="44"/>
      <c r="E222" s="44"/>
      <c r="F222" s="44"/>
      <c r="G222" s="44"/>
      <c r="H222" s="44" t="n">
        <f aca="false">B222+D222+E222+F222+G222+C222</f>
        <v>39</v>
      </c>
      <c r="I222" s="45"/>
      <c r="J222" s="49"/>
      <c r="K222" s="49"/>
      <c r="L222" s="49"/>
      <c r="M222" s="49"/>
      <c r="N222" s="49"/>
      <c r="O222" s="49"/>
      <c r="P222" s="49"/>
      <c r="Q222" s="49"/>
      <c r="R222" s="49"/>
      <c r="S222" s="49" t="n">
        <v>3</v>
      </c>
      <c r="T222" s="49"/>
      <c r="U222" s="49"/>
      <c r="V222" s="47" t="n">
        <f aca="false">J222+K222+L222+M222+N222+O222+P222+Q222+R222+S222+T222+U222</f>
        <v>3</v>
      </c>
      <c r="W222" s="47" t="n">
        <f aca="false">H222-V222</f>
        <v>36</v>
      </c>
      <c r="X222" s="48" t="n">
        <v>3.6</v>
      </c>
      <c r="Y222" s="48" t="n">
        <f aca="false">B222*$X222</f>
        <v>140.4</v>
      </c>
      <c r="Z222" s="48" t="n">
        <f aca="false">C222*$X222</f>
        <v>0</v>
      </c>
      <c r="AA222" s="48" t="n">
        <f aca="false">D222*$X222</f>
        <v>0</v>
      </c>
      <c r="AB222" s="48" t="n">
        <f aca="false">E222*$X222</f>
        <v>0</v>
      </c>
      <c r="AC222" s="48" t="n">
        <f aca="false">F222*$X222</f>
        <v>0</v>
      </c>
      <c r="AD222" s="48" t="n">
        <f aca="false">G222*$X222</f>
        <v>0</v>
      </c>
      <c r="AE222" s="48" t="n">
        <f aca="false">H222*$X222</f>
        <v>140.4</v>
      </c>
      <c r="AF222" s="48" t="n">
        <f aca="false">I222*$X222</f>
        <v>0</v>
      </c>
      <c r="AG222" s="48" t="n">
        <f aca="false">J222*$X222</f>
        <v>0</v>
      </c>
      <c r="AH222" s="48" t="n">
        <f aca="false">K222*$X222</f>
        <v>0</v>
      </c>
      <c r="AI222" s="48" t="n">
        <f aca="false">L222*$X222</f>
        <v>0</v>
      </c>
      <c r="AJ222" s="48" t="n">
        <f aca="false">M222*$X222</f>
        <v>0</v>
      </c>
      <c r="AK222" s="48" t="n">
        <f aca="false">N222*$X222</f>
        <v>0</v>
      </c>
      <c r="AL222" s="48" t="n">
        <f aca="false">O222*$X222</f>
        <v>0</v>
      </c>
      <c r="AM222" s="48" t="n">
        <f aca="false">P222*$X222</f>
        <v>0</v>
      </c>
      <c r="AN222" s="48" t="n">
        <f aca="false">Q222*$X222</f>
        <v>0</v>
      </c>
      <c r="AO222" s="48" t="n">
        <f aca="false">R222*$X222</f>
        <v>0</v>
      </c>
      <c r="AP222" s="48" t="n">
        <f aca="false">S222*$X222</f>
        <v>10.8</v>
      </c>
      <c r="AQ222" s="48" t="n">
        <f aca="false">T222*$X222</f>
        <v>0</v>
      </c>
      <c r="AR222" s="48" t="n">
        <f aca="false">U222*$X222</f>
        <v>0</v>
      </c>
      <c r="AS222" s="48" t="n">
        <f aca="false">V222*$X222</f>
        <v>10.8</v>
      </c>
      <c r="AT222" s="48" t="n">
        <f aca="false">W222*$X222</f>
        <v>129.6</v>
      </c>
      <c r="AU222" s="48" t="n">
        <f aca="false">X222*$X222</f>
        <v>12.96</v>
      </c>
      <c r="AV222" s="48" t="n">
        <f aca="false">Y222*$X222</f>
        <v>505.44</v>
      </c>
      <c r="AW222" s="48" t="n">
        <f aca="false">Z222*$X222</f>
        <v>0</v>
      </c>
      <c r="AX222" s="48" t="n">
        <f aca="false">AA222*$X222</f>
        <v>0</v>
      </c>
      <c r="AY222" s="48" t="n">
        <f aca="false">AB222*$X222</f>
        <v>0</v>
      </c>
      <c r="AZ222" s="48" t="n">
        <f aca="false">AC222*$X222</f>
        <v>0</v>
      </c>
      <c r="BA222" s="1"/>
      <c r="BB222" s="1"/>
      <c r="BC222" s="1"/>
      <c r="BD222" s="1"/>
      <c r="BE222" s="1"/>
      <c r="BF222" s="1"/>
    </row>
    <row r="223" s="48" customFormat="true" ht="15" hidden="false" customHeight="true" outlineLevel="0" collapsed="false">
      <c r="A223" s="42" t="s">
        <v>292</v>
      </c>
      <c r="B223" s="42" t="n">
        <v>11</v>
      </c>
      <c r="C223" s="43"/>
      <c r="D223" s="44"/>
      <c r="E223" s="44"/>
      <c r="F223" s="44"/>
      <c r="G223" s="44"/>
      <c r="H223" s="44" t="n">
        <f aca="false">B223+D223+E223+F223+G223+C223</f>
        <v>11</v>
      </c>
      <c r="I223" s="45"/>
      <c r="J223" s="49"/>
      <c r="K223" s="49"/>
      <c r="L223" s="49"/>
      <c r="M223" s="49"/>
      <c r="N223" s="49"/>
      <c r="O223" s="49"/>
      <c r="P223" s="49"/>
      <c r="Q223" s="49"/>
      <c r="R223" s="49"/>
      <c r="S223" s="49" t="n">
        <v>34</v>
      </c>
      <c r="T223" s="49"/>
      <c r="U223" s="49"/>
      <c r="V223" s="47" t="n">
        <f aca="false">J223+K223+L223+M223+N223+O223+P223+Q223+R223+S223+T223+U223</f>
        <v>34</v>
      </c>
      <c r="W223" s="47" t="n">
        <f aca="false">H223-V223</f>
        <v>-23</v>
      </c>
      <c r="X223" s="48" t="n">
        <v>4.5</v>
      </c>
      <c r="Y223" s="48" t="n">
        <f aca="false">B223*$X223</f>
        <v>49.5</v>
      </c>
      <c r="Z223" s="48" t="n">
        <f aca="false">C223*$X223</f>
        <v>0</v>
      </c>
      <c r="AA223" s="48" t="n">
        <f aca="false">D223*$X223</f>
        <v>0</v>
      </c>
      <c r="AB223" s="48" t="n">
        <f aca="false">E223*$X223</f>
        <v>0</v>
      </c>
      <c r="AC223" s="48" t="n">
        <f aca="false">F223*$X223</f>
        <v>0</v>
      </c>
      <c r="AD223" s="48" t="n">
        <f aca="false">G223*$X223</f>
        <v>0</v>
      </c>
      <c r="AE223" s="48" t="n">
        <f aca="false">H223*$X223</f>
        <v>49.5</v>
      </c>
      <c r="AF223" s="48" t="n">
        <f aca="false">I223*$X223</f>
        <v>0</v>
      </c>
      <c r="AG223" s="48" t="n">
        <f aca="false">J223*$X223</f>
        <v>0</v>
      </c>
      <c r="AH223" s="48" t="n">
        <f aca="false">K223*$X223</f>
        <v>0</v>
      </c>
      <c r="AI223" s="48" t="n">
        <f aca="false">L223*$X223</f>
        <v>0</v>
      </c>
      <c r="AJ223" s="48" t="n">
        <f aca="false">M223*$X223</f>
        <v>0</v>
      </c>
      <c r="AK223" s="48" t="n">
        <f aca="false">N223*$X223</f>
        <v>0</v>
      </c>
      <c r="AL223" s="48" t="n">
        <f aca="false">O223*$X223</f>
        <v>0</v>
      </c>
      <c r="AM223" s="48" t="n">
        <f aca="false">P223*$X223</f>
        <v>0</v>
      </c>
      <c r="AN223" s="48" t="n">
        <f aca="false">Q223*$X223</f>
        <v>0</v>
      </c>
      <c r="AO223" s="48" t="n">
        <f aca="false">R223*$X223</f>
        <v>0</v>
      </c>
      <c r="AP223" s="48" t="n">
        <f aca="false">S223*$X223</f>
        <v>153</v>
      </c>
      <c r="AQ223" s="48" t="n">
        <f aca="false">T223*$X223</f>
        <v>0</v>
      </c>
      <c r="AR223" s="48" t="n">
        <f aca="false">U223*$X223</f>
        <v>0</v>
      </c>
      <c r="AS223" s="48" t="n">
        <f aca="false">V223*$X223</f>
        <v>153</v>
      </c>
      <c r="AT223" s="48" t="n">
        <f aca="false">W223*$X223</f>
        <v>-103.5</v>
      </c>
      <c r="AU223" s="48" t="n">
        <f aca="false">X223*$X223</f>
        <v>20.25</v>
      </c>
      <c r="AV223" s="48" t="n">
        <f aca="false">Y223*$X223</f>
        <v>222.75</v>
      </c>
      <c r="AW223" s="48" t="n">
        <f aca="false">Z223*$X223</f>
        <v>0</v>
      </c>
      <c r="AX223" s="48" t="n">
        <f aca="false">AA223*$X223</f>
        <v>0</v>
      </c>
      <c r="AY223" s="48" t="n">
        <f aca="false">AB223*$X223</f>
        <v>0</v>
      </c>
      <c r="AZ223" s="48" t="n">
        <f aca="false">AC223*$X223</f>
        <v>0</v>
      </c>
      <c r="BA223" s="1"/>
      <c r="BB223" s="1"/>
      <c r="BC223" s="1"/>
      <c r="BD223" s="1"/>
      <c r="BE223" s="1"/>
      <c r="BF223" s="1"/>
    </row>
    <row r="224" s="48" customFormat="true" ht="15" hidden="false" customHeight="true" outlineLevel="0" collapsed="false">
      <c r="A224" s="42" t="s">
        <v>293</v>
      </c>
      <c r="B224" s="42" t="n">
        <v>30</v>
      </c>
      <c r="C224" s="43"/>
      <c r="D224" s="44"/>
      <c r="E224" s="44"/>
      <c r="F224" s="44"/>
      <c r="G224" s="44"/>
      <c r="H224" s="44" t="n">
        <f aca="false">B224+D224+E224+F224+G224+C224</f>
        <v>30</v>
      </c>
      <c r="I224" s="45"/>
      <c r="J224" s="49"/>
      <c r="K224" s="49"/>
      <c r="L224" s="49"/>
      <c r="M224" s="49"/>
      <c r="N224" s="49"/>
      <c r="O224" s="49"/>
      <c r="P224" s="49"/>
      <c r="Q224" s="49"/>
      <c r="R224" s="49" t="n">
        <v>3</v>
      </c>
      <c r="S224" s="49" t="n">
        <v>32</v>
      </c>
      <c r="T224" s="49"/>
      <c r="U224" s="49"/>
      <c r="V224" s="47" t="n">
        <f aca="false">J224+K224+L224+M224+N224+O224+P224+Q224+R224+S224+T224+U224</f>
        <v>35</v>
      </c>
      <c r="W224" s="47" t="n">
        <f aca="false">H224-V224</f>
        <v>-5</v>
      </c>
      <c r="X224" s="48" t="n">
        <v>5.4</v>
      </c>
      <c r="Y224" s="48" t="n">
        <f aca="false">B224*$X224</f>
        <v>162</v>
      </c>
      <c r="Z224" s="48" t="n">
        <f aca="false">C224*$X224</f>
        <v>0</v>
      </c>
      <c r="AA224" s="48" t="n">
        <f aca="false">D224*$X224</f>
        <v>0</v>
      </c>
      <c r="AB224" s="48" t="n">
        <f aca="false">E224*$X224</f>
        <v>0</v>
      </c>
      <c r="AC224" s="48" t="n">
        <f aca="false">F224*$X224</f>
        <v>0</v>
      </c>
      <c r="AD224" s="48" t="n">
        <f aca="false">G224*$X224</f>
        <v>0</v>
      </c>
      <c r="AE224" s="48" t="n">
        <f aca="false">H224*$X224</f>
        <v>162</v>
      </c>
      <c r="AF224" s="48" t="n">
        <f aca="false">I224*$X224</f>
        <v>0</v>
      </c>
      <c r="AG224" s="48" t="n">
        <f aca="false">J224*$X224</f>
        <v>0</v>
      </c>
      <c r="AH224" s="48" t="n">
        <f aca="false">K224*$X224</f>
        <v>0</v>
      </c>
      <c r="AI224" s="48" t="n">
        <f aca="false">L224*$X224</f>
        <v>0</v>
      </c>
      <c r="AJ224" s="48" t="n">
        <f aca="false">M224*$X224</f>
        <v>0</v>
      </c>
      <c r="AK224" s="48" t="n">
        <f aca="false">N224*$X224</f>
        <v>0</v>
      </c>
      <c r="AL224" s="48" t="n">
        <f aca="false">O224*$X224</f>
        <v>0</v>
      </c>
      <c r="AM224" s="48" t="n">
        <f aca="false">P224*$X224</f>
        <v>0</v>
      </c>
      <c r="AN224" s="48" t="n">
        <f aca="false">Q224*$X224</f>
        <v>0</v>
      </c>
      <c r="AO224" s="48" t="n">
        <f aca="false">R224*$X224</f>
        <v>16.2</v>
      </c>
      <c r="AP224" s="48" t="n">
        <f aca="false">S224*$X224</f>
        <v>172.8</v>
      </c>
      <c r="AQ224" s="48" t="n">
        <f aca="false">T224*$X224</f>
        <v>0</v>
      </c>
      <c r="AR224" s="48" t="n">
        <f aca="false">U224*$X224</f>
        <v>0</v>
      </c>
      <c r="AS224" s="48" t="n">
        <f aca="false">V224*$X224</f>
        <v>189</v>
      </c>
      <c r="AT224" s="48" t="n">
        <f aca="false">W224*$X224</f>
        <v>-27</v>
      </c>
      <c r="AU224" s="48" t="n">
        <f aca="false">X224*$X224</f>
        <v>29.16</v>
      </c>
      <c r="AV224" s="48" t="n">
        <f aca="false">Y224*$X224</f>
        <v>874.8</v>
      </c>
      <c r="AW224" s="48" t="n">
        <f aca="false">Z224*$X224</f>
        <v>0</v>
      </c>
      <c r="AX224" s="48" t="n">
        <f aca="false">AA224*$X224</f>
        <v>0</v>
      </c>
      <c r="AY224" s="48" t="n">
        <f aca="false">AB224*$X224</f>
        <v>0</v>
      </c>
      <c r="AZ224" s="48" t="n">
        <f aca="false">AC224*$X224</f>
        <v>0</v>
      </c>
      <c r="BA224" s="1"/>
      <c r="BB224" s="1"/>
      <c r="BC224" s="1"/>
      <c r="BD224" s="1"/>
      <c r="BE224" s="1"/>
      <c r="BF224" s="1"/>
    </row>
    <row r="225" s="48" customFormat="true" ht="15" hidden="false" customHeight="true" outlineLevel="0" collapsed="false">
      <c r="A225" s="42" t="s">
        <v>294</v>
      </c>
      <c r="B225" s="42" t="n">
        <v>48</v>
      </c>
      <c r="C225" s="43"/>
      <c r="D225" s="44"/>
      <c r="E225" s="44" t="n">
        <v>32</v>
      </c>
      <c r="F225" s="44"/>
      <c r="G225" s="44"/>
      <c r="H225" s="44" t="n">
        <f aca="false">B225+D225+E225+F225+G225+C225</f>
        <v>80</v>
      </c>
      <c r="I225" s="45"/>
      <c r="J225" s="49"/>
      <c r="K225" s="49"/>
      <c r="L225" s="49"/>
      <c r="M225" s="49"/>
      <c r="N225" s="49"/>
      <c r="O225" s="49"/>
      <c r="P225" s="49"/>
      <c r="Q225" s="49"/>
      <c r="R225" s="49"/>
      <c r="S225" s="49" t="n">
        <v>11</v>
      </c>
      <c r="T225" s="49"/>
      <c r="U225" s="49"/>
      <c r="V225" s="47" t="n">
        <f aca="false">J225+K225+L225+M225+N225+O225+P225+Q225+R225+S225+T225+U225</f>
        <v>11</v>
      </c>
      <c r="W225" s="47" t="n">
        <f aca="false">H225-V225</f>
        <v>69</v>
      </c>
      <c r="X225" s="48" t="n">
        <v>6.3</v>
      </c>
      <c r="Y225" s="48" t="n">
        <f aca="false">B225*$X225</f>
        <v>302.4</v>
      </c>
      <c r="Z225" s="48" t="n">
        <f aca="false">C225*$X225</f>
        <v>0</v>
      </c>
      <c r="AA225" s="48" t="n">
        <f aca="false">D225*$X225</f>
        <v>0</v>
      </c>
      <c r="AB225" s="48" t="n">
        <f aca="false">E225*$X225</f>
        <v>201.6</v>
      </c>
      <c r="AC225" s="48" t="n">
        <f aca="false">F225*$X225</f>
        <v>0</v>
      </c>
      <c r="AD225" s="48" t="n">
        <f aca="false">G225*$X225</f>
        <v>0</v>
      </c>
      <c r="AE225" s="48" t="n">
        <f aca="false">H225*$X225</f>
        <v>504</v>
      </c>
      <c r="AF225" s="48" t="n">
        <f aca="false">I225*$X225</f>
        <v>0</v>
      </c>
      <c r="AG225" s="48" t="n">
        <f aca="false">J225*$X225</f>
        <v>0</v>
      </c>
      <c r="AH225" s="48" t="n">
        <f aca="false">K225*$X225</f>
        <v>0</v>
      </c>
      <c r="AI225" s="48" t="n">
        <f aca="false">L225*$X225</f>
        <v>0</v>
      </c>
      <c r="AJ225" s="48" t="n">
        <f aca="false">M225*$X225</f>
        <v>0</v>
      </c>
      <c r="AK225" s="48" t="n">
        <f aca="false">N225*$X225</f>
        <v>0</v>
      </c>
      <c r="AL225" s="48" t="n">
        <f aca="false">O225*$X225</f>
        <v>0</v>
      </c>
      <c r="AM225" s="48" t="n">
        <f aca="false">P225*$X225</f>
        <v>0</v>
      </c>
      <c r="AN225" s="48" t="n">
        <f aca="false">Q225*$X225</f>
        <v>0</v>
      </c>
      <c r="AO225" s="48" t="n">
        <f aca="false">R225*$X225</f>
        <v>0</v>
      </c>
      <c r="AP225" s="48" t="n">
        <f aca="false">S225*$X225</f>
        <v>69.3</v>
      </c>
      <c r="AQ225" s="48" t="n">
        <f aca="false">T225*$X225</f>
        <v>0</v>
      </c>
      <c r="AR225" s="48" t="n">
        <f aca="false">U225*$X225</f>
        <v>0</v>
      </c>
      <c r="AS225" s="48" t="n">
        <f aca="false">V225*$X225</f>
        <v>69.3</v>
      </c>
      <c r="AT225" s="48" t="n">
        <f aca="false">W225*$X225</f>
        <v>434.7</v>
      </c>
      <c r="AU225" s="48" t="n">
        <f aca="false">X225*$X225</f>
        <v>39.69</v>
      </c>
      <c r="AV225" s="48" t="n">
        <f aca="false">Y225*$X225</f>
        <v>1905.12</v>
      </c>
      <c r="AW225" s="48" t="n">
        <f aca="false">Z225*$X225</f>
        <v>0</v>
      </c>
      <c r="AX225" s="48" t="n">
        <f aca="false">AA225*$X225</f>
        <v>0</v>
      </c>
      <c r="AY225" s="48" t="n">
        <f aca="false">AB225*$X225</f>
        <v>1270.08</v>
      </c>
      <c r="AZ225" s="48" t="n">
        <f aca="false">AC225*$X225</f>
        <v>0</v>
      </c>
      <c r="BA225" s="1"/>
      <c r="BB225" s="1"/>
      <c r="BC225" s="1"/>
      <c r="BD225" s="1"/>
      <c r="BE225" s="1"/>
      <c r="BF225" s="1"/>
    </row>
    <row r="226" s="48" customFormat="true" ht="15" hidden="false" customHeight="true" outlineLevel="0" collapsed="false">
      <c r="A226" s="42" t="s">
        <v>295</v>
      </c>
      <c r="B226" s="42" t="n">
        <v>73</v>
      </c>
      <c r="C226" s="43"/>
      <c r="D226" s="44"/>
      <c r="E226" s="44"/>
      <c r="F226" s="44"/>
      <c r="G226" s="44"/>
      <c r="H226" s="44" t="n">
        <f aca="false">B226+D226+E226+F226+G226+C226</f>
        <v>73</v>
      </c>
      <c r="I226" s="45"/>
      <c r="J226" s="49"/>
      <c r="K226" s="49"/>
      <c r="L226" s="49"/>
      <c r="M226" s="49"/>
      <c r="N226" s="49"/>
      <c r="O226" s="49"/>
      <c r="P226" s="49"/>
      <c r="Q226" s="49"/>
      <c r="R226" s="49"/>
      <c r="S226" s="49" t="n">
        <v>2</v>
      </c>
      <c r="T226" s="49"/>
      <c r="U226" s="49"/>
      <c r="V226" s="47" t="n">
        <f aca="false">J226+K226+L226+M226+N226+O226+P226+Q226+R226+S226+T226+U226</f>
        <v>2</v>
      </c>
      <c r="W226" s="47" t="n">
        <f aca="false">H226-V226</f>
        <v>71</v>
      </c>
      <c r="X226" s="48" t="n">
        <v>7.2</v>
      </c>
      <c r="Y226" s="48" t="n">
        <f aca="false">B226*$X226</f>
        <v>525.6</v>
      </c>
      <c r="Z226" s="48" t="n">
        <f aca="false">C226*$X226</f>
        <v>0</v>
      </c>
      <c r="AA226" s="48" t="n">
        <f aca="false">D226*$X226</f>
        <v>0</v>
      </c>
      <c r="AB226" s="48" t="n">
        <f aca="false">E226*$X226</f>
        <v>0</v>
      </c>
      <c r="AC226" s="48" t="n">
        <f aca="false">F226*$X226</f>
        <v>0</v>
      </c>
      <c r="AD226" s="48" t="n">
        <f aca="false">G226*$X226</f>
        <v>0</v>
      </c>
      <c r="AE226" s="48" t="n">
        <f aca="false">H226*$X226</f>
        <v>525.6</v>
      </c>
      <c r="AF226" s="48" t="n">
        <f aca="false">I226*$X226</f>
        <v>0</v>
      </c>
      <c r="AG226" s="48" t="n">
        <f aca="false">J226*$X226</f>
        <v>0</v>
      </c>
      <c r="AH226" s="48" t="n">
        <f aca="false">K226*$X226</f>
        <v>0</v>
      </c>
      <c r="AI226" s="48" t="n">
        <f aca="false">L226*$X226</f>
        <v>0</v>
      </c>
      <c r="AJ226" s="48" t="n">
        <f aca="false">M226*$X226</f>
        <v>0</v>
      </c>
      <c r="AK226" s="48" t="n">
        <f aca="false">N226*$X226</f>
        <v>0</v>
      </c>
      <c r="AL226" s="48" t="n">
        <f aca="false">O226*$X226</f>
        <v>0</v>
      </c>
      <c r="AM226" s="48" t="n">
        <f aca="false">P226*$X226</f>
        <v>0</v>
      </c>
      <c r="AN226" s="48" t="n">
        <f aca="false">Q226*$X226</f>
        <v>0</v>
      </c>
      <c r="AO226" s="48" t="n">
        <f aca="false">R226*$X226</f>
        <v>0</v>
      </c>
      <c r="AP226" s="48" t="n">
        <f aca="false">S226*$X226</f>
        <v>14.4</v>
      </c>
      <c r="AQ226" s="48" t="n">
        <f aca="false">T226*$X226</f>
        <v>0</v>
      </c>
      <c r="AR226" s="48" t="n">
        <f aca="false">U226*$X226</f>
        <v>0</v>
      </c>
      <c r="AS226" s="48" t="n">
        <f aca="false">V226*$X226</f>
        <v>14.4</v>
      </c>
      <c r="AT226" s="48" t="n">
        <f aca="false">W226*$X226</f>
        <v>511.2</v>
      </c>
      <c r="AU226" s="48" t="n">
        <f aca="false">X226*$X226</f>
        <v>51.84</v>
      </c>
      <c r="AV226" s="48" t="n">
        <f aca="false">Y226*$X226</f>
        <v>3784.32</v>
      </c>
      <c r="AW226" s="48" t="n">
        <f aca="false">Z226*$X226</f>
        <v>0</v>
      </c>
      <c r="AX226" s="48" t="n">
        <f aca="false">AA226*$X226</f>
        <v>0</v>
      </c>
      <c r="AY226" s="48" t="n">
        <f aca="false">AB226*$X226</f>
        <v>0</v>
      </c>
      <c r="AZ226" s="48" t="n">
        <f aca="false">AC226*$X226</f>
        <v>0</v>
      </c>
      <c r="BA226" s="1"/>
      <c r="BB226" s="1"/>
      <c r="BC226" s="1"/>
      <c r="BD226" s="1"/>
      <c r="BE226" s="1"/>
      <c r="BF226" s="1"/>
    </row>
    <row r="227" s="48" customFormat="true" ht="15" hidden="false" customHeight="true" outlineLevel="0" collapsed="false">
      <c r="A227" s="42" t="s">
        <v>296</v>
      </c>
      <c r="B227" s="42" t="n">
        <v>5</v>
      </c>
      <c r="C227" s="43"/>
      <c r="D227" s="44"/>
      <c r="E227" s="44"/>
      <c r="F227" s="44"/>
      <c r="G227" s="44"/>
      <c r="H227" s="44" t="n">
        <f aca="false">B227+D227+E227+F227+G227+C227</f>
        <v>5</v>
      </c>
      <c r="I227" s="45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7" t="n">
        <f aca="false">J227+K227+L227+M227+N227+O227+P227+Q227+R227+S227+T227+U227</f>
        <v>0</v>
      </c>
      <c r="W227" s="47" t="n">
        <f aca="false">H227-V227</f>
        <v>5</v>
      </c>
      <c r="X227" s="48" t="n">
        <v>8.1</v>
      </c>
      <c r="Y227" s="48" t="n">
        <f aca="false">B227*$X227</f>
        <v>40.5</v>
      </c>
      <c r="Z227" s="48" t="n">
        <f aca="false">C227*$X227</f>
        <v>0</v>
      </c>
      <c r="AA227" s="48" t="n">
        <f aca="false">D227*$X227</f>
        <v>0</v>
      </c>
      <c r="AB227" s="48" t="n">
        <f aca="false">E227*$X227</f>
        <v>0</v>
      </c>
      <c r="AC227" s="48" t="n">
        <f aca="false">F227*$X227</f>
        <v>0</v>
      </c>
      <c r="AD227" s="48" t="n">
        <f aca="false">G227*$X227</f>
        <v>0</v>
      </c>
      <c r="AE227" s="48" t="n">
        <f aca="false">H227*$X227</f>
        <v>40.5</v>
      </c>
      <c r="AF227" s="48" t="n">
        <f aca="false">I227*$X227</f>
        <v>0</v>
      </c>
      <c r="AG227" s="48" t="n">
        <f aca="false">J227*$X227</f>
        <v>0</v>
      </c>
      <c r="AH227" s="48" t="n">
        <f aca="false">K227*$X227</f>
        <v>0</v>
      </c>
      <c r="AI227" s="48" t="n">
        <f aca="false">L227*$X227</f>
        <v>0</v>
      </c>
      <c r="AJ227" s="48" t="n">
        <f aca="false">M227*$X227</f>
        <v>0</v>
      </c>
      <c r="AK227" s="48" t="n">
        <f aca="false">N227*$X227</f>
        <v>0</v>
      </c>
      <c r="AL227" s="48" t="n">
        <f aca="false">O227*$X227</f>
        <v>0</v>
      </c>
      <c r="AM227" s="48" t="n">
        <f aca="false">P227*$X227</f>
        <v>0</v>
      </c>
      <c r="AN227" s="48" t="n">
        <f aca="false">Q227*$X227</f>
        <v>0</v>
      </c>
      <c r="AO227" s="48" t="n">
        <f aca="false">R227*$X227</f>
        <v>0</v>
      </c>
      <c r="AP227" s="48" t="n">
        <f aca="false">S227*$X227</f>
        <v>0</v>
      </c>
      <c r="AQ227" s="48" t="n">
        <f aca="false">T227*$X227</f>
        <v>0</v>
      </c>
      <c r="AR227" s="48" t="n">
        <f aca="false">U227*$X227</f>
        <v>0</v>
      </c>
      <c r="AS227" s="48" t="n">
        <f aca="false">V227*$X227</f>
        <v>0</v>
      </c>
      <c r="AT227" s="48" t="n">
        <f aca="false">W227*$X227</f>
        <v>40.5</v>
      </c>
      <c r="AU227" s="48" t="n">
        <f aca="false">X227*$X227</f>
        <v>65.61</v>
      </c>
      <c r="AV227" s="48" t="n">
        <f aca="false">Y227*$X227</f>
        <v>328.05</v>
      </c>
      <c r="AW227" s="48" t="n">
        <f aca="false">Z227*$X227</f>
        <v>0</v>
      </c>
      <c r="AX227" s="48" t="n">
        <f aca="false">AA227*$X227</f>
        <v>0</v>
      </c>
      <c r="AY227" s="48" t="n">
        <f aca="false">AB227*$X227</f>
        <v>0</v>
      </c>
      <c r="AZ227" s="48" t="n">
        <f aca="false">AC227*$X227</f>
        <v>0</v>
      </c>
      <c r="BA227" s="1"/>
      <c r="BB227" s="1"/>
      <c r="BC227" s="1"/>
      <c r="BD227" s="1"/>
      <c r="BE227" s="1"/>
      <c r="BF227" s="1"/>
    </row>
    <row r="228" s="48" customFormat="true" ht="15" hidden="false" customHeight="true" outlineLevel="0" collapsed="false">
      <c r="A228" s="42" t="s">
        <v>297</v>
      </c>
      <c r="B228" s="42" t="n">
        <v>3</v>
      </c>
      <c r="C228" s="43"/>
      <c r="D228" s="44"/>
      <c r="E228" s="44"/>
      <c r="F228" s="44"/>
      <c r="G228" s="44"/>
      <c r="H228" s="44" t="n">
        <f aca="false">B228+D228+E228+F228+G228+C228</f>
        <v>3</v>
      </c>
      <c r="I228" s="45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7" t="n">
        <f aca="false">J228+K228+L228+M228+N228+O228+P228+Q228+R228+S228+T228+U228</f>
        <v>0</v>
      </c>
      <c r="W228" s="47" t="n">
        <f aca="false">H228-V228</f>
        <v>3</v>
      </c>
      <c r="X228" s="48" t="n">
        <v>9</v>
      </c>
      <c r="Y228" s="48" t="n">
        <f aca="false">B228*$X228</f>
        <v>27</v>
      </c>
      <c r="Z228" s="48" t="n">
        <f aca="false">C228*$X228</f>
        <v>0</v>
      </c>
      <c r="AA228" s="48" t="n">
        <f aca="false">D228*$X228</f>
        <v>0</v>
      </c>
      <c r="AB228" s="48" t="n">
        <f aca="false">E228*$X228</f>
        <v>0</v>
      </c>
      <c r="AC228" s="48" t="n">
        <f aca="false">F228*$X228</f>
        <v>0</v>
      </c>
      <c r="AD228" s="48" t="n">
        <f aca="false">G228*$X228</f>
        <v>0</v>
      </c>
      <c r="AE228" s="48" t="n">
        <f aca="false">H228*$X228</f>
        <v>27</v>
      </c>
      <c r="AF228" s="48" t="n">
        <f aca="false">I228*$X228</f>
        <v>0</v>
      </c>
      <c r="AG228" s="48" t="n">
        <f aca="false">J228*$X228</f>
        <v>0</v>
      </c>
      <c r="AH228" s="48" t="n">
        <f aca="false">K228*$X228</f>
        <v>0</v>
      </c>
      <c r="AI228" s="48" t="n">
        <f aca="false">L228*$X228</f>
        <v>0</v>
      </c>
      <c r="AJ228" s="48" t="n">
        <f aca="false">M228*$X228</f>
        <v>0</v>
      </c>
      <c r="AK228" s="48" t="n">
        <f aca="false">N228*$X228</f>
        <v>0</v>
      </c>
      <c r="AL228" s="48" t="n">
        <f aca="false">O228*$X228</f>
        <v>0</v>
      </c>
      <c r="AM228" s="48" t="n">
        <f aca="false">P228*$X228</f>
        <v>0</v>
      </c>
      <c r="AN228" s="48" t="n">
        <f aca="false">Q228*$X228</f>
        <v>0</v>
      </c>
      <c r="AO228" s="48" t="n">
        <f aca="false">R228*$X228</f>
        <v>0</v>
      </c>
      <c r="AP228" s="48" t="n">
        <f aca="false">S228*$X228</f>
        <v>0</v>
      </c>
      <c r="AQ228" s="48" t="n">
        <f aca="false">T228*$X228</f>
        <v>0</v>
      </c>
      <c r="AR228" s="48" t="n">
        <f aca="false">U228*$X228</f>
        <v>0</v>
      </c>
      <c r="AS228" s="48" t="n">
        <f aca="false">V228*$X228</f>
        <v>0</v>
      </c>
      <c r="AT228" s="48" t="n">
        <f aca="false">W228*$X228</f>
        <v>27</v>
      </c>
      <c r="AU228" s="48" t="n">
        <f aca="false">X228*$X228</f>
        <v>81</v>
      </c>
      <c r="AV228" s="48" t="n">
        <f aca="false">Y228*$X228</f>
        <v>243</v>
      </c>
      <c r="AW228" s="48" t="n">
        <f aca="false">Z228*$X228</f>
        <v>0</v>
      </c>
      <c r="AX228" s="48" t="n">
        <f aca="false">AA228*$X228</f>
        <v>0</v>
      </c>
      <c r="AY228" s="48" t="n">
        <f aca="false">AB228*$X228</f>
        <v>0</v>
      </c>
      <c r="AZ228" s="48" t="n">
        <f aca="false">AC228*$X228</f>
        <v>0</v>
      </c>
      <c r="BA228" s="1"/>
      <c r="BB228" s="1"/>
      <c r="BC228" s="1"/>
      <c r="BD228" s="1"/>
      <c r="BE228" s="1"/>
      <c r="BF228" s="1"/>
    </row>
    <row r="229" s="48" customFormat="true" ht="15" hidden="false" customHeight="true" outlineLevel="0" collapsed="false">
      <c r="A229" s="42" t="s">
        <v>298</v>
      </c>
      <c r="B229" s="42" t="n">
        <v>0</v>
      </c>
      <c r="C229" s="43"/>
      <c r="D229" s="44" t="n">
        <v>49</v>
      </c>
      <c r="E229" s="44"/>
      <c r="F229" s="44" t="n">
        <v>91</v>
      </c>
      <c r="G229" s="44"/>
      <c r="H229" s="44" t="n">
        <f aca="false">B229+D229+E229+F229+G229+C229</f>
        <v>140</v>
      </c>
      <c r="I229" s="45"/>
      <c r="J229" s="49"/>
      <c r="K229" s="49"/>
      <c r="L229" s="49"/>
      <c r="M229" s="49"/>
      <c r="N229" s="49"/>
      <c r="O229" s="49"/>
      <c r="P229" s="49"/>
      <c r="Q229" s="49"/>
      <c r="R229" s="49" t="n">
        <v>3</v>
      </c>
      <c r="S229" s="49" t="n">
        <v>6</v>
      </c>
      <c r="T229" s="49"/>
      <c r="U229" s="49"/>
      <c r="V229" s="47" t="n">
        <f aca="false">J229+K229+L229+M229+N229+O229+P229+Q229+R229+S229+T229+U229</f>
        <v>9</v>
      </c>
      <c r="W229" s="47" t="n">
        <f aca="false">H229-V229</f>
        <v>131</v>
      </c>
      <c r="X229" s="48" t="n">
        <v>9.9</v>
      </c>
      <c r="Y229" s="48" t="n">
        <f aca="false">B229*$X229</f>
        <v>0</v>
      </c>
      <c r="Z229" s="48" t="n">
        <f aca="false">C229*$X229</f>
        <v>0</v>
      </c>
      <c r="AA229" s="48" t="n">
        <f aca="false">D229*$X229</f>
        <v>485.1</v>
      </c>
      <c r="AB229" s="48" t="n">
        <f aca="false">E229*$X229</f>
        <v>0</v>
      </c>
      <c r="AC229" s="48" t="n">
        <f aca="false">F229*$X229</f>
        <v>900.9</v>
      </c>
      <c r="AD229" s="48" t="n">
        <f aca="false">G229*$X229</f>
        <v>0</v>
      </c>
      <c r="AE229" s="48" t="n">
        <f aca="false">H229*$X229</f>
        <v>1386</v>
      </c>
      <c r="AF229" s="48" t="n">
        <f aca="false">I229*$X229</f>
        <v>0</v>
      </c>
      <c r="AG229" s="48" t="n">
        <f aca="false">J229*$X229</f>
        <v>0</v>
      </c>
      <c r="AH229" s="48" t="n">
        <f aca="false">K229*$X229</f>
        <v>0</v>
      </c>
      <c r="AI229" s="48" t="n">
        <f aca="false">L229*$X229</f>
        <v>0</v>
      </c>
      <c r="AJ229" s="48" t="n">
        <f aca="false">M229*$X229</f>
        <v>0</v>
      </c>
      <c r="AK229" s="48" t="n">
        <f aca="false">N229*$X229</f>
        <v>0</v>
      </c>
      <c r="AL229" s="48" t="n">
        <f aca="false">O229*$X229</f>
        <v>0</v>
      </c>
      <c r="AM229" s="48" t="n">
        <f aca="false">P229*$X229</f>
        <v>0</v>
      </c>
      <c r="AN229" s="48" t="n">
        <f aca="false">Q229*$X229</f>
        <v>0</v>
      </c>
      <c r="AO229" s="48" t="n">
        <f aca="false">R229*$X229</f>
        <v>29.7</v>
      </c>
      <c r="AP229" s="48" t="n">
        <f aca="false">S229*$X229</f>
        <v>59.4</v>
      </c>
      <c r="AQ229" s="48" t="n">
        <f aca="false">T229*$X229</f>
        <v>0</v>
      </c>
      <c r="AR229" s="48" t="n">
        <f aca="false">U229*$X229</f>
        <v>0</v>
      </c>
      <c r="AS229" s="48" t="n">
        <f aca="false">V229*$X229</f>
        <v>89.1</v>
      </c>
      <c r="AT229" s="48" t="n">
        <f aca="false">W229*$X229</f>
        <v>1296.9</v>
      </c>
      <c r="AU229" s="48" t="n">
        <f aca="false">X229*$X229</f>
        <v>98.01</v>
      </c>
      <c r="AV229" s="48" t="n">
        <f aca="false">Y229*$X229</f>
        <v>0</v>
      </c>
      <c r="AW229" s="48" t="n">
        <f aca="false">Z229*$X229</f>
        <v>0</v>
      </c>
      <c r="AX229" s="48" t="n">
        <f aca="false">AA229*$X229</f>
        <v>4802.49</v>
      </c>
      <c r="AY229" s="48" t="n">
        <f aca="false">AB229*$X229</f>
        <v>0</v>
      </c>
      <c r="AZ229" s="48" t="n">
        <f aca="false">AC229*$X229</f>
        <v>8918.91</v>
      </c>
      <c r="BA229" s="1"/>
      <c r="BB229" s="1"/>
      <c r="BC229" s="1"/>
      <c r="BD229" s="1"/>
      <c r="BE229" s="1"/>
      <c r="BF229" s="1"/>
    </row>
    <row r="230" s="48" customFormat="true" ht="15" hidden="false" customHeight="true" outlineLevel="0" collapsed="false">
      <c r="A230" s="42" t="s">
        <v>299</v>
      </c>
      <c r="B230" s="42" t="n">
        <v>5</v>
      </c>
      <c r="C230" s="43"/>
      <c r="D230" s="44"/>
      <c r="E230" s="44"/>
      <c r="F230" s="44"/>
      <c r="G230" s="44" t="n">
        <v>10</v>
      </c>
      <c r="H230" s="44" t="n">
        <f aca="false">B230+D230+E230+F230+G230+C230</f>
        <v>15</v>
      </c>
      <c r="I230" s="45"/>
      <c r="J230" s="49"/>
      <c r="K230" s="49"/>
      <c r="L230" s="49"/>
      <c r="M230" s="49"/>
      <c r="N230" s="49"/>
      <c r="O230" s="49"/>
      <c r="P230" s="49"/>
      <c r="Q230" s="49"/>
      <c r="R230" s="49" t="n">
        <v>3</v>
      </c>
      <c r="S230" s="49"/>
      <c r="T230" s="49"/>
      <c r="U230" s="49"/>
      <c r="V230" s="47" t="n">
        <f aca="false">J230+K230+L230+M230+N230+O230+P230+Q230+R230+S230+T230+U230</f>
        <v>3</v>
      </c>
      <c r="W230" s="47" t="n">
        <f aca="false">H230-V230</f>
        <v>12</v>
      </c>
      <c r="X230" s="48" t="n">
        <v>10.8</v>
      </c>
      <c r="Y230" s="48" t="n">
        <f aca="false">B230*$X230</f>
        <v>54</v>
      </c>
      <c r="Z230" s="48" t="n">
        <f aca="false">C230*$X230</f>
        <v>0</v>
      </c>
      <c r="AA230" s="48" t="n">
        <f aca="false">D230*$X230</f>
        <v>0</v>
      </c>
      <c r="AB230" s="48" t="n">
        <f aca="false">E230*$X230</f>
        <v>0</v>
      </c>
      <c r="AC230" s="48" t="n">
        <f aca="false">F230*$X230</f>
        <v>0</v>
      </c>
      <c r="AD230" s="48" t="n">
        <f aca="false">G230*$X230</f>
        <v>108</v>
      </c>
      <c r="AE230" s="48" t="n">
        <f aca="false">H230*$X230</f>
        <v>162</v>
      </c>
      <c r="AF230" s="48" t="n">
        <f aca="false">I230*$X230</f>
        <v>0</v>
      </c>
      <c r="AG230" s="48" t="n">
        <f aca="false">J230*$X230</f>
        <v>0</v>
      </c>
      <c r="AH230" s="48" t="n">
        <f aca="false">K230*$X230</f>
        <v>0</v>
      </c>
      <c r="AI230" s="48" t="n">
        <f aca="false">L230*$X230</f>
        <v>0</v>
      </c>
      <c r="AJ230" s="48" t="n">
        <f aca="false">M230*$X230</f>
        <v>0</v>
      </c>
      <c r="AK230" s="48" t="n">
        <f aca="false">N230*$X230</f>
        <v>0</v>
      </c>
      <c r="AL230" s="48" t="n">
        <f aca="false">O230*$X230</f>
        <v>0</v>
      </c>
      <c r="AM230" s="48" t="n">
        <f aca="false">P230*$X230</f>
        <v>0</v>
      </c>
      <c r="AN230" s="48" t="n">
        <f aca="false">Q230*$X230</f>
        <v>0</v>
      </c>
      <c r="AO230" s="48" t="n">
        <f aca="false">R230*$X230</f>
        <v>32.4</v>
      </c>
      <c r="AP230" s="48" t="n">
        <f aca="false">S230*$X230</f>
        <v>0</v>
      </c>
      <c r="AQ230" s="48" t="n">
        <f aca="false">T230*$X230</f>
        <v>0</v>
      </c>
      <c r="AR230" s="48" t="n">
        <f aca="false">U230*$X230</f>
        <v>0</v>
      </c>
      <c r="AS230" s="48" t="n">
        <f aca="false">V230*$X230</f>
        <v>32.4</v>
      </c>
      <c r="AT230" s="48" t="n">
        <f aca="false">W230*$X230</f>
        <v>129.6</v>
      </c>
      <c r="AU230" s="48" t="n">
        <f aca="false">X230*$X230</f>
        <v>116.64</v>
      </c>
      <c r="AV230" s="48" t="n">
        <f aca="false">Y230*$X230</f>
        <v>583.2</v>
      </c>
      <c r="AW230" s="48" t="n">
        <f aca="false">Z230*$X230</f>
        <v>0</v>
      </c>
      <c r="AX230" s="48" t="n">
        <f aca="false">AA230*$X230</f>
        <v>0</v>
      </c>
      <c r="AY230" s="48" t="n">
        <f aca="false">AB230*$X230</f>
        <v>0</v>
      </c>
      <c r="AZ230" s="48" t="n">
        <f aca="false">AC230*$X230</f>
        <v>0</v>
      </c>
      <c r="BA230" s="1"/>
      <c r="BB230" s="1"/>
      <c r="BC230" s="1"/>
      <c r="BD230" s="1"/>
      <c r="BE230" s="1"/>
      <c r="BF230" s="1"/>
    </row>
    <row r="231" s="48" customFormat="true" ht="15" hidden="false" customHeight="true" outlineLevel="0" collapsed="false">
      <c r="A231" s="42" t="s">
        <v>300</v>
      </c>
      <c r="B231" s="42" t="n">
        <v>4</v>
      </c>
      <c r="C231" s="43"/>
      <c r="D231" s="44"/>
      <c r="E231" s="44" t="n">
        <v>23</v>
      </c>
      <c r="F231" s="44"/>
      <c r="G231" s="44"/>
      <c r="H231" s="44" t="n">
        <f aca="false">B231+D231+E231+F231+G231+C231</f>
        <v>27</v>
      </c>
      <c r="I231" s="45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7" t="n">
        <f aca="false">J231+K231+L231+M231+N231+O231+P231+Q231+R231+S231+T231+U231</f>
        <v>0</v>
      </c>
      <c r="W231" s="47" t="n">
        <f aca="false">H231-V231</f>
        <v>27</v>
      </c>
      <c r="X231" s="48" t="n">
        <v>11.7</v>
      </c>
      <c r="Y231" s="48" t="n">
        <f aca="false">B231*$X231</f>
        <v>46.8</v>
      </c>
      <c r="Z231" s="48" t="n">
        <f aca="false">C231*$X231</f>
        <v>0</v>
      </c>
      <c r="AA231" s="48" t="n">
        <f aca="false">D231*$X231</f>
        <v>0</v>
      </c>
      <c r="AB231" s="48" t="n">
        <f aca="false">E231*$X231</f>
        <v>269.1</v>
      </c>
      <c r="AC231" s="48" t="n">
        <f aca="false">F231*$X231</f>
        <v>0</v>
      </c>
      <c r="AD231" s="48" t="n">
        <f aca="false">G231*$X231</f>
        <v>0</v>
      </c>
      <c r="AE231" s="48" t="n">
        <f aca="false">H231*$X231</f>
        <v>315.9</v>
      </c>
      <c r="AF231" s="48" t="n">
        <f aca="false">I231*$X231</f>
        <v>0</v>
      </c>
      <c r="AG231" s="48" t="n">
        <f aca="false">J231*$X231</f>
        <v>0</v>
      </c>
      <c r="AH231" s="48" t="n">
        <f aca="false">K231*$X231</f>
        <v>0</v>
      </c>
      <c r="AI231" s="48" t="n">
        <f aca="false">L231*$X231</f>
        <v>0</v>
      </c>
      <c r="AJ231" s="48" t="n">
        <f aca="false">M231*$X231</f>
        <v>0</v>
      </c>
      <c r="AK231" s="48" t="n">
        <f aca="false">N231*$X231</f>
        <v>0</v>
      </c>
      <c r="AL231" s="48" t="n">
        <f aca="false">O231*$X231</f>
        <v>0</v>
      </c>
      <c r="AM231" s="48" t="n">
        <f aca="false">P231*$X231</f>
        <v>0</v>
      </c>
      <c r="AN231" s="48" t="n">
        <f aca="false">Q231*$X231</f>
        <v>0</v>
      </c>
      <c r="AO231" s="48" t="n">
        <f aca="false">R231*$X231</f>
        <v>0</v>
      </c>
      <c r="AP231" s="48" t="n">
        <f aca="false">S231*$X231</f>
        <v>0</v>
      </c>
      <c r="AQ231" s="48" t="n">
        <f aca="false">T231*$X231</f>
        <v>0</v>
      </c>
      <c r="AR231" s="48" t="n">
        <f aca="false">U231*$X231</f>
        <v>0</v>
      </c>
      <c r="AS231" s="48" t="n">
        <f aca="false">V231*$X231</f>
        <v>0</v>
      </c>
      <c r="AT231" s="48" t="n">
        <f aca="false">W231*$X231</f>
        <v>315.9</v>
      </c>
      <c r="AU231" s="48" t="n">
        <f aca="false">X231*$X231</f>
        <v>136.89</v>
      </c>
      <c r="AV231" s="48" t="n">
        <f aca="false">Y231*$X231</f>
        <v>547.56</v>
      </c>
      <c r="AW231" s="48" t="n">
        <f aca="false">Z231*$X231</f>
        <v>0</v>
      </c>
      <c r="AX231" s="48" t="n">
        <f aca="false">AA231*$X231</f>
        <v>0</v>
      </c>
      <c r="AY231" s="48" t="n">
        <f aca="false">AB231*$X231</f>
        <v>3148.47</v>
      </c>
      <c r="AZ231" s="48" t="n">
        <f aca="false">AC231*$X231</f>
        <v>0</v>
      </c>
      <c r="BA231" s="1"/>
      <c r="BB231" s="1"/>
      <c r="BC231" s="1"/>
      <c r="BD231" s="1"/>
      <c r="BE231" s="1"/>
      <c r="BF231" s="1"/>
    </row>
    <row r="232" s="48" customFormat="true" ht="15" hidden="false" customHeight="true" outlineLevel="0" collapsed="false">
      <c r="A232" s="42" t="s">
        <v>301</v>
      </c>
      <c r="B232" s="42" t="n">
        <v>26</v>
      </c>
      <c r="C232" s="43"/>
      <c r="D232" s="44"/>
      <c r="E232" s="44"/>
      <c r="F232" s="44" t="n">
        <v>27</v>
      </c>
      <c r="G232" s="44"/>
      <c r="H232" s="44" t="n">
        <f aca="false">B232+D232+E232+F232+G232+C232</f>
        <v>53</v>
      </c>
      <c r="I232" s="45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7" t="n">
        <f aca="false">J232+K232+L232+M232+N232+O232+P232+Q232+R232+S232+T232+U232</f>
        <v>0</v>
      </c>
      <c r="W232" s="47" t="n">
        <f aca="false">H232-V232</f>
        <v>53</v>
      </c>
      <c r="X232" s="48" t="n">
        <v>12.6</v>
      </c>
      <c r="Y232" s="48" t="n">
        <f aca="false">B232*$X232</f>
        <v>327.6</v>
      </c>
      <c r="Z232" s="48" t="n">
        <f aca="false">C232*$X232</f>
        <v>0</v>
      </c>
      <c r="AA232" s="48" t="n">
        <f aca="false">D232*$X232</f>
        <v>0</v>
      </c>
      <c r="AB232" s="48" t="n">
        <f aca="false">E232*$X232</f>
        <v>0</v>
      </c>
      <c r="AC232" s="48" t="n">
        <f aca="false">F232*$X232</f>
        <v>340.2</v>
      </c>
      <c r="AD232" s="48" t="n">
        <f aca="false">G232*$X232</f>
        <v>0</v>
      </c>
      <c r="AE232" s="48" t="n">
        <f aca="false">H232*$X232</f>
        <v>667.8</v>
      </c>
      <c r="AF232" s="48" t="n">
        <f aca="false">I232*$X232</f>
        <v>0</v>
      </c>
      <c r="AG232" s="48" t="n">
        <f aca="false">J232*$X232</f>
        <v>0</v>
      </c>
      <c r="AH232" s="48" t="n">
        <f aca="false">K232*$X232</f>
        <v>0</v>
      </c>
      <c r="AI232" s="48" t="n">
        <f aca="false">L232*$X232</f>
        <v>0</v>
      </c>
      <c r="AJ232" s="48" t="n">
        <f aca="false">M232*$X232</f>
        <v>0</v>
      </c>
      <c r="AK232" s="48" t="n">
        <f aca="false">N232*$X232</f>
        <v>0</v>
      </c>
      <c r="AL232" s="48" t="n">
        <f aca="false">O232*$X232</f>
        <v>0</v>
      </c>
      <c r="AM232" s="48" t="n">
        <f aca="false">P232*$X232</f>
        <v>0</v>
      </c>
      <c r="AN232" s="48" t="n">
        <f aca="false">Q232*$X232</f>
        <v>0</v>
      </c>
      <c r="AO232" s="48" t="n">
        <f aca="false">R232*$X232</f>
        <v>0</v>
      </c>
      <c r="AP232" s="48" t="n">
        <f aca="false">S232*$X232</f>
        <v>0</v>
      </c>
      <c r="AQ232" s="48" t="n">
        <f aca="false">T232*$X232</f>
        <v>0</v>
      </c>
      <c r="AR232" s="48" t="n">
        <f aca="false">U232*$X232</f>
        <v>0</v>
      </c>
      <c r="AS232" s="48" t="n">
        <f aca="false">V232*$X232</f>
        <v>0</v>
      </c>
      <c r="AT232" s="48" t="n">
        <f aca="false">W232*$X232</f>
        <v>667.8</v>
      </c>
      <c r="AU232" s="48" t="n">
        <f aca="false">X232*$X232</f>
        <v>158.76</v>
      </c>
      <c r="AV232" s="48" t="n">
        <f aca="false">Y232*$X232</f>
        <v>4127.76</v>
      </c>
      <c r="AW232" s="48" t="n">
        <f aca="false">Z232*$X232</f>
        <v>0</v>
      </c>
      <c r="AX232" s="48" t="n">
        <f aca="false">AA232*$X232</f>
        <v>0</v>
      </c>
      <c r="AY232" s="48" t="n">
        <f aca="false">AB232*$X232</f>
        <v>0</v>
      </c>
      <c r="AZ232" s="48" t="n">
        <f aca="false">AC232*$X232</f>
        <v>4286.52</v>
      </c>
      <c r="BA232" s="1"/>
      <c r="BB232" s="1"/>
      <c r="BC232" s="1"/>
      <c r="BD232" s="1"/>
      <c r="BE232" s="1"/>
      <c r="BF232" s="1"/>
    </row>
    <row r="233" s="48" customFormat="true" ht="15" hidden="false" customHeight="true" outlineLevel="0" collapsed="false">
      <c r="A233" s="42" t="s">
        <v>302</v>
      </c>
      <c r="B233" s="42" t="n">
        <v>2</v>
      </c>
      <c r="C233" s="43"/>
      <c r="D233" s="44"/>
      <c r="E233" s="44"/>
      <c r="F233" s="44" t="n">
        <v>6</v>
      </c>
      <c r="G233" s="44"/>
      <c r="H233" s="44" t="n">
        <f aca="false">B233+D233+E233+F233+G233+C233</f>
        <v>8</v>
      </c>
      <c r="I233" s="45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7" t="n">
        <f aca="false">J233+K233+L233+M233+N233+O233+P233+Q233+R233+S233+T233+U233</f>
        <v>0</v>
      </c>
      <c r="W233" s="47" t="n">
        <f aca="false">H233-V233</f>
        <v>8</v>
      </c>
      <c r="X233" s="48" t="n">
        <v>13.5</v>
      </c>
      <c r="Y233" s="48" t="n">
        <f aca="false">B233*$X233</f>
        <v>27</v>
      </c>
      <c r="Z233" s="48" t="n">
        <f aca="false">C233*$X233</f>
        <v>0</v>
      </c>
      <c r="AA233" s="48" t="n">
        <f aca="false">D233*$X233</f>
        <v>0</v>
      </c>
      <c r="AB233" s="48" t="n">
        <f aca="false">E233*$X233</f>
        <v>0</v>
      </c>
      <c r="AC233" s="48" t="n">
        <f aca="false">F233*$X233</f>
        <v>81</v>
      </c>
      <c r="AD233" s="48" t="n">
        <f aca="false">G233*$X233</f>
        <v>0</v>
      </c>
      <c r="AE233" s="48" t="n">
        <f aca="false">H233*$X233</f>
        <v>108</v>
      </c>
      <c r="AF233" s="48" t="n">
        <f aca="false">I233*$X233</f>
        <v>0</v>
      </c>
      <c r="AG233" s="48" t="n">
        <f aca="false">J233*$X233</f>
        <v>0</v>
      </c>
      <c r="AH233" s="48" t="n">
        <f aca="false">K233*$X233</f>
        <v>0</v>
      </c>
      <c r="AI233" s="48" t="n">
        <f aca="false">L233*$X233</f>
        <v>0</v>
      </c>
      <c r="AJ233" s="48" t="n">
        <f aca="false">M233*$X233</f>
        <v>0</v>
      </c>
      <c r="AK233" s="48" t="n">
        <f aca="false">N233*$X233</f>
        <v>0</v>
      </c>
      <c r="AL233" s="48" t="n">
        <f aca="false">O233*$X233</f>
        <v>0</v>
      </c>
      <c r="AM233" s="48" t="n">
        <f aca="false">P233*$X233</f>
        <v>0</v>
      </c>
      <c r="AN233" s="48" t="n">
        <f aca="false">Q233*$X233</f>
        <v>0</v>
      </c>
      <c r="AO233" s="48" t="n">
        <f aca="false">R233*$X233</f>
        <v>0</v>
      </c>
      <c r="AP233" s="48" t="n">
        <f aca="false">S233*$X233</f>
        <v>0</v>
      </c>
      <c r="AQ233" s="48" t="n">
        <f aca="false">T233*$X233</f>
        <v>0</v>
      </c>
      <c r="AR233" s="48" t="n">
        <f aca="false">U233*$X233</f>
        <v>0</v>
      </c>
      <c r="AS233" s="48" t="n">
        <f aca="false">V233*$X233</f>
        <v>0</v>
      </c>
      <c r="AT233" s="48" t="n">
        <f aca="false">W233*$X233</f>
        <v>108</v>
      </c>
      <c r="AU233" s="48" t="n">
        <f aca="false">X233*$X233</f>
        <v>182.25</v>
      </c>
      <c r="AV233" s="48" t="n">
        <f aca="false">Y233*$X233</f>
        <v>364.5</v>
      </c>
      <c r="AW233" s="48" t="n">
        <f aca="false">Z233*$X233</f>
        <v>0</v>
      </c>
      <c r="AX233" s="48" t="n">
        <f aca="false">AA233*$X233</f>
        <v>0</v>
      </c>
      <c r="AY233" s="48" t="n">
        <f aca="false">AB233*$X233</f>
        <v>0</v>
      </c>
      <c r="AZ233" s="48" t="n">
        <f aca="false">AC233*$X233</f>
        <v>1093.5</v>
      </c>
      <c r="BA233" s="1"/>
      <c r="BB233" s="1"/>
      <c r="BC233" s="1"/>
      <c r="BD233" s="1"/>
      <c r="BE233" s="1"/>
      <c r="BF233" s="1"/>
    </row>
    <row r="234" s="48" customFormat="true" ht="15" hidden="false" customHeight="true" outlineLevel="0" collapsed="false">
      <c r="A234" s="42" t="s">
        <v>303</v>
      </c>
      <c r="B234" s="42" t="n">
        <v>33</v>
      </c>
      <c r="C234" s="43"/>
      <c r="D234" s="44"/>
      <c r="E234" s="44"/>
      <c r="F234" s="44" t="n">
        <v>21</v>
      </c>
      <c r="G234" s="44"/>
      <c r="H234" s="44" t="n">
        <f aca="false">B234+D234+E234+F234+G234+C234</f>
        <v>54</v>
      </c>
      <c r="I234" s="45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7" t="n">
        <f aca="false">J234+K234+L234+M234+N234+O234+P234+Q234+R234+S234+T234+U234</f>
        <v>0</v>
      </c>
      <c r="W234" s="47" t="n">
        <f aca="false">H234-V234</f>
        <v>54</v>
      </c>
      <c r="X234" s="48" t="n">
        <v>14.4</v>
      </c>
      <c r="Y234" s="48" t="n">
        <f aca="false">B234*$X234</f>
        <v>475.2</v>
      </c>
      <c r="Z234" s="48" t="n">
        <f aca="false">C234*$X234</f>
        <v>0</v>
      </c>
      <c r="AA234" s="48" t="n">
        <f aca="false">D234*$X234</f>
        <v>0</v>
      </c>
      <c r="AB234" s="48" t="n">
        <f aca="false">E234*$X234</f>
        <v>0</v>
      </c>
      <c r="AC234" s="48" t="n">
        <f aca="false">F234*$X234</f>
        <v>302.4</v>
      </c>
      <c r="AD234" s="48" t="n">
        <f aca="false">G234*$X234</f>
        <v>0</v>
      </c>
      <c r="AE234" s="48" t="n">
        <f aca="false">H234*$X234</f>
        <v>777.6</v>
      </c>
      <c r="AF234" s="48" t="n">
        <f aca="false">I234*$X234</f>
        <v>0</v>
      </c>
      <c r="AG234" s="48" t="n">
        <f aca="false">J234*$X234</f>
        <v>0</v>
      </c>
      <c r="AH234" s="48" t="n">
        <f aca="false">K234*$X234</f>
        <v>0</v>
      </c>
      <c r="AI234" s="48" t="n">
        <f aca="false">L234*$X234</f>
        <v>0</v>
      </c>
      <c r="AJ234" s="48" t="n">
        <f aca="false">M234*$X234</f>
        <v>0</v>
      </c>
      <c r="AK234" s="48" t="n">
        <f aca="false">N234*$X234</f>
        <v>0</v>
      </c>
      <c r="AL234" s="48" t="n">
        <f aca="false">O234*$X234</f>
        <v>0</v>
      </c>
      <c r="AM234" s="48" t="n">
        <f aca="false">P234*$X234</f>
        <v>0</v>
      </c>
      <c r="AN234" s="48" t="n">
        <f aca="false">Q234*$X234</f>
        <v>0</v>
      </c>
      <c r="AO234" s="48" t="n">
        <f aca="false">R234*$X234</f>
        <v>0</v>
      </c>
      <c r="AP234" s="48" t="n">
        <f aca="false">S234*$X234</f>
        <v>0</v>
      </c>
      <c r="AQ234" s="48" t="n">
        <f aca="false">T234*$X234</f>
        <v>0</v>
      </c>
      <c r="AR234" s="48" t="n">
        <f aca="false">U234*$X234</f>
        <v>0</v>
      </c>
      <c r="AS234" s="48" t="n">
        <f aca="false">V234*$X234</f>
        <v>0</v>
      </c>
      <c r="AT234" s="48" t="n">
        <f aca="false">W234*$X234</f>
        <v>777.6</v>
      </c>
      <c r="AU234" s="48" t="n">
        <f aca="false">X234*$X234</f>
        <v>207.36</v>
      </c>
      <c r="AV234" s="48" t="n">
        <f aca="false">Y234*$X234</f>
        <v>6842.88</v>
      </c>
      <c r="AW234" s="48" t="n">
        <f aca="false">Z234*$X234</f>
        <v>0</v>
      </c>
      <c r="AX234" s="48" t="n">
        <f aca="false">AA234*$X234</f>
        <v>0</v>
      </c>
      <c r="AY234" s="48" t="n">
        <f aca="false">AB234*$X234</f>
        <v>0</v>
      </c>
      <c r="AZ234" s="48" t="n">
        <f aca="false">AC234*$X234</f>
        <v>4354.56</v>
      </c>
      <c r="BA234" s="1"/>
      <c r="BB234" s="1"/>
      <c r="BC234" s="1"/>
      <c r="BD234" s="1"/>
      <c r="BE234" s="1"/>
      <c r="BF234" s="1"/>
    </row>
    <row r="235" s="48" customFormat="true" ht="15" hidden="false" customHeight="true" outlineLevel="0" collapsed="false">
      <c r="A235" s="42" t="s">
        <v>304</v>
      </c>
      <c r="B235" s="42" t="n">
        <v>0</v>
      </c>
      <c r="C235" s="43"/>
      <c r="D235" s="44"/>
      <c r="E235" s="44"/>
      <c r="F235" s="44"/>
      <c r="G235" s="44"/>
      <c r="H235" s="44" t="n">
        <f aca="false">B235+D235+E235+F235+G235+C235</f>
        <v>0</v>
      </c>
      <c r="I235" s="45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7" t="n">
        <f aca="false">J235+K235+L235+M235+N235+O235+P235+Q235+R235+S235+T235+U235</f>
        <v>0</v>
      </c>
      <c r="W235" s="47" t="n">
        <f aca="false">H235-V235</f>
        <v>0</v>
      </c>
      <c r="X235" s="48" t="n">
        <v>15.3</v>
      </c>
      <c r="Y235" s="48" t="n">
        <f aca="false">B235*$X235</f>
        <v>0</v>
      </c>
      <c r="Z235" s="48" t="n">
        <f aca="false">C235*$X235</f>
        <v>0</v>
      </c>
      <c r="AA235" s="48" t="n">
        <f aca="false">D235*$X235</f>
        <v>0</v>
      </c>
      <c r="AB235" s="48" t="n">
        <f aca="false">E235*$X235</f>
        <v>0</v>
      </c>
      <c r="AC235" s="48" t="n">
        <f aca="false">F235*$X235</f>
        <v>0</v>
      </c>
      <c r="AD235" s="48" t="n">
        <f aca="false">G235*$X235</f>
        <v>0</v>
      </c>
      <c r="AE235" s="48" t="n">
        <f aca="false">H235*$X235</f>
        <v>0</v>
      </c>
      <c r="AF235" s="48" t="n">
        <f aca="false">I235*$X235</f>
        <v>0</v>
      </c>
      <c r="AG235" s="48" t="n">
        <f aca="false">J235*$X235</f>
        <v>0</v>
      </c>
      <c r="AH235" s="48" t="n">
        <f aca="false">K235*$X235</f>
        <v>0</v>
      </c>
      <c r="AI235" s="48" t="n">
        <f aca="false">L235*$X235</f>
        <v>0</v>
      </c>
      <c r="AJ235" s="48" t="n">
        <f aca="false">M235*$X235</f>
        <v>0</v>
      </c>
      <c r="AK235" s="48" t="n">
        <f aca="false">N235*$X235</f>
        <v>0</v>
      </c>
      <c r="AL235" s="48" t="n">
        <f aca="false">O235*$X235</f>
        <v>0</v>
      </c>
      <c r="AM235" s="48" t="n">
        <f aca="false">P235*$X235</f>
        <v>0</v>
      </c>
      <c r="AN235" s="48" t="n">
        <f aca="false">Q235*$X235</f>
        <v>0</v>
      </c>
      <c r="AO235" s="48" t="n">
        <f aca="false">R235*$X235</f>
        <v>0</v>
      </c>
      <c r="AP235" s="48" t="n">
        <f aca="false">S235*$X235</f>
        <v>0</v>
      </c>
      <c r="AQ235" s="48" t="n">
        <f aca="false">T235*$X235</f>
        <v>0</v>
      </c>
      <c r="AR235" s="48" t="n">
        <f aca="false">U235*$X235</f>
        <v>0</v>
      </c>
      <c r="AS235" s="48" t="n">
        <f aca="false">V235*$X235</f>
        <v>0</v>
      </c>
      <c r="AT235" s="48" t="n">
        <f aca="false">W235*$X235</f>
        <v>0</v>
      </c>
      <c r="AU235" s="48" t="n">
        <f aca="false">X235*$X235</f>
        <v>234.09</v>
      </c>
      <c r="AV235" s="48" t="n">
        <f aca="false">Y235*$X235</f>
        <v>0</v>
      </c>
      <c r="AW235" s="48" t="n">
        <f aca="false">Z235*$X235</f>
        <v>0</v>
      </c>
      <c r="AX235" s="48" t="n">
        <f aca="false">AA235*$X235</f>
        <v>0</v>
      </c>
      <c r="AY235" s="48" t="n">
        <f aca="false">AB235*$X235</f>
        <v>0</v>
      </c>
      <c r="AZ235" s="48" t="n">
        <f aca="false">AC235*$X235</f>
        <v>0</v>
      </c>
      <c r="BA235" s="1"/>
      <c r="BB235" s="1"/>
      <c r="BC235" s="1"/>
      <c r="BD235" s="1"/>
      <c r="BE235" s="1"/>
      <c r="BF235" s="1"/>
    </row>
    <row r="236" s="48" customFormat="true" ht="15" hidden="false" customHeight="true" outlineLevel="0" collapsed="false">
      <c r="A236" s="42" t="s">
        <v>305</v>
      </c>
      <c r="B236" s="42" t="n">
        <v>7</v>
      </c>
      <c r="C236" s="43"/>
      <c r="D236" s="44"/>
      <c r="E236" s="44"/>
      <c r="F236" s="44" t="n">
        <v>2</v>
      </c>
      <c r="G236" s="44"/>
      <c r="H236" s="44" t="n">
        <f aca="false">B236+D236+E236+F236+G236+C236</f>
        <v>9</v>
      </c>
      <c r="I236" s="45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7" t="n">
        <f aca="false">J236+K236+L236+M236+N236+O236+P236+Q236+R236+S236+T236+U236</f>
        <v>0</v>
      </c>
      <c r="W236" s="47" t="n">
        <f aca="false">H236-V236</f>
        <v>9</v>
      </c>
      <c r="X236" s="48" t="n">
        <v>16.2</v>
      </c>
      <c r="Y236" s="48" t="n">
        <f aca="false">B236*$X236</f>
        <v>113.4</v>
      </c>
      <c r="Z236" s="48" t="n">
        <f aca="false">C236*$X236</f>
        <v>0</v>
      </c>
      <c r="AA236" s="48" t="n">
        <f aca="false">D236*$X236</f>
        <v>0</v>
      </c>
      <c r="AB236" s="48" t="n">
        <f aca="false">E236*$X236</f>
        <v>0</v>
      </c>
      <c r="AC236" s="48" t="n">
        <f aca="false">F236*$X236</f>
        <v>32.4</v>
      </c>
      <c r="AD236" s="48" t="n">
        <f aca="false">G236*$X236</f>
        <v>0</v>
      </c>
      <c r="AE236" s="48" t="n">
        <f aca="false">H236*$X236</f>
        <v>145.8</v>
      </c>
      <c r="AF236" s="48" t="n">
        <f aca="false">I236*$X236</f>
        <v>0</v>
      </c>
      <c r="AG236" s="48" t="n">
        <f aca="false">J236*$X236</f>
        <v>0</v>
      </c>
      <c r="AH236" s="48" t="n">
        <f aca="false">K236*$X236</f>
        <v>0</v>
      </c>
      <c r="AI236" s="48" t="n">
        <f aca="false">L236*$X236</f>
        <v>0</v>
      </c>
      <c r="AJ236" s="48" t="n">
        <f aca="false">M236*$X236</f>
        <v>0</v>
      </c>
      <c r="AK236" s="48" t="n">
        <f aca="false">N236*$X236</f>
        <v>0</v>
      </c>
      <c r="AL236" s="48" t="n">
        <f aca="false">O236*$X236</f>
        <v>0</v>
      </c>
      <c r="AM236" s="48" t="n">
        <f aca="false">P236*$X236</f>
        <v>0</v>
      </c>
      <c r="AN236" s="48" t="n">
        <f aca="false">Q236*$X236</f>
        <v>0</v>
      </c>
      <c r="AO236" s="48" t="n">
        <f aca="false">R236*$X236</f>
        <v>0</v>
      </c>
      <c r="AP236" s="48" t="n">
        <f aca="false">S236*$X236</f>
        <v>0</v>
      </c>
      <c r="AQ236" s="48" t="n">
        <f aca="false">T236*$X236</f>
        <v>0</v>
      </c>
      <c r="AR236" s="48" t="n">
        <f aca="false">U236*$X236</f>
        <v>0</v>
      </c>
      <c r="AS236" s="48" t="n">
        <f aca="false">V236*$X236</f>
        <v>0</v>
      </c>
      <c r="AT236" s="48" t="n">
        <f aca="false">W236*$X236</f>
        <v>145.8</v>
      </c>
      <c r="AU236" s="48" t="n">
        <f aca="false">X236*$X236</f>
        <v>262.44</v>
      </c>
      <c r="AV236" s="48" t="n">
        <f aca="false">Y236*$X236</f>
        <v>1837.08</v>
      </c>
      <c r="AW236" s="48" t="n">
        <f aca="false">Z236*$X236</f>
        <v>0</v>
      </c>
      <c r="AX236" s="48" t="n">
        <f aca="false">AA236*$X236</f>
        <v>0</v>
      </c>
      <c r="AY236" s="48" t="n">
        <f aca="false">AB236*$X236</f>
        <v>0</v>
      </c>
      <c r="AZ236" s="48" t="n">
        <f aca="false">AC236*$X236</f>
        <v>524.88</v>
      </c>
      <c r="BA236" s="1"/>
      <c r="BB236" s="1"/>
      <c r="BC236" s="1"/>
      <c r="BD236" s="1"/>
      <c r="BE236" s="1"/>
      <c r="BF236" s="1"/>
    </row>
    <row r="237" s="48" customFormat="true" ht="15" hidden="false" customHeight="true" outlineLevel="0" collapsed="false">
      <c r="A237" s="42" t="s">
        <v>306</v>
      </c>
      <c r="B237" s="42" t="n">
        <v>0</v>
      </c>
      <c r="C237" s="43"/>
      <c r="D237" s="44"/>
      <c r="E237" s="44"/>
      <c r="F237" s="44"/>
      <c r="G237" s="44"/>
      <c r="H237" s="44" t="n">
        <f aca="false">B237+D237+E237+F237+G237+C237</f>
        <v>0</v>
      </c>
      <c r="I237" s="45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7" t="n">
        <f aca="false">J237+K237+L237+M237+N237+O237+P237+Q237+R237+S237+T237+U237</f>
        <v>0</v>
      </c>
      <c r="W237" s="47" t="n">
        <f aca="false">H237-V237</f>
        <v>0</v>
      </c>
      <c r="X237" s="48" t="n">
        <v>17.1</v>
      </c>
      <c r="Y237" s="48" t="n">
        <f aca="false">B237*$X237</f>
        <v>0</v>
      </c>
      <c r="Z237" s="48" t="n">
        <f aca="false">C237*$X237</f>
        <v>0</v>
      </c>
      <c r="AA237" s="48" t="n">
        <f aca="false">D237*$X237</f>
        <v>0</v>
      </c>
      <c r="AB237" s="48" t="n">
        <f aca="false">E237*$X237</f>
        <v>0</v>
      </c>
      <c r="AC237" s="48" t="n">
        <f aca="false">F237*$X237</f>
        <v>0</v>
      </c>
      <c r="AD237" s="48" t="n">
        <f aca="false">G237*$X237</f>
        <v>0</v>
      </c>
      <c r="AE237" s="48" t="n">
        <f aca="false">H237*$X237</f>
        <v>0</v>
      </c>
      <c r="AF237" s="48" t="n">
        <f aca="false">I237*$X237</f>
        <v>0</v>
      </c>
      <c r="AG237" s="48" t="n">
        <f aca="false">J237*$X237</f>
        <v>0</v>
      </c>
      <c r="AH237" s="48" t="n">
        <f aca="false">K237*$X237</f>
        <v>0</v>
      </c>
      <c r="AI237" s="48" t="n">
        <f aca="false">L237*$X237</f>
        <v>0</v>
      </c>
      <c r="AJ237" s="48" t="n">
        <f aca="false">M237*$X237</f>
        <v>0</v>
      </c>
      <c r="AK237" s="48" t="n">
        <f aca="false">N237*$X237</f>
        <v>0</v>
      </c>
      <c r="AL237" s="48" t="n">
        <f aca="false">O237*$X237</f>
        <v>0</v>
      </c>
      <c r="AM237" s="48" t="n">
        <f aca="false">P237*$X237</f>
        <v>0</v>
      </c>
      <c r="AN237" s="48" t="n">
        <f aca="false">Q237*$X237</f>
        <v>0</v>
      </c>
      <c r="AO237" s="48" t="n">
        <f aca="false">R237*$X237</f>
        <v>0</v>
      </c>
      <c r="AP237" s="48" t="n">
        <f aca="false">S237*$X237</f>
        <v>0</v>
      </c>
      <c r="AQ237" s="48" t="n">
        <f aca="false">T237*$X237</f>
        <v>0</v>
      </c>
      <c r="AR237" s="48" t="n">
        <f aca="false">U237*$X237</f>
        <v>0</v>
      </c>
      <c r="AS237" s="48" t="n">
        <f aca="false">V237*$X237</f>
        <v>0</v>
      </c>
      <c r="AT237" s="48" t="n">
        <f aca="false">W237*$X237</f>
        <v>0</v>
      </c>
      <c r="AU237" s="48" t="n">
        <f aca="false">X237*$X237</f>
        <v>292.41</v>
      </c>
      <c r="AV237" s="48" t="n">
        <f aca="false">Y237*$X237</f>
        <v>0</v>
      </c>
      <c r="AW237" s="48" t="n">
        <f aca="false">Z237*$X237</f>
        <v>0</v>
      </c>
      <c r="AX237" s="48" t="n">
        <f aca="false">AA237*$X237</f>
        <v>0</v>
      </c>
      <c r="AY237" s="48" t="n">
        <f aca="false">AB237*$X237</f>
        <v>0</v>
      </c>
      <c r="AZ237" s="48" t="n">
        <f aca="false">AC237*$X237</f>
        <v>0</v>
      </c>
      <c r="BA237" s="1"/>
      <c r="BB237" s="1"/>
      <c r="BC237" s="1"/>
      <c r="BD237" s="1"/>
      <c r="BE237" s="1"/>
      <c r="BF237" s="1"/>
    </row>
    <row r="238" s="48" customFormat="true" ht="15" hidden="false" customHeight="true" outlineLevel="0" collapsed="false">
      <c r="A238" s="42" t="s">
        <v>307</v>
      </c>
      <c r="B238" s="42" t="n">
        <v>0</v>
      </c>
      <c r="C238" s="43"/>
      <c r="D238" s="44"/>
      <c r="E238" s="44"/>
      <c r="F238" s="44"/>
      <c r="G238" s="44"/>
      <c r="H238" s="44" t="n">
        <f aca="false">B238+D238+E238+F238+G238+C238</f>
        <v>0</v>
      </c>
      <c r="I238" s="45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7" t="n">
        <f aca="false">J238+K238+L238+M238+N238+O238+P238+Q238+R238+S238+T238+U238</f>
        <v>0</v>
      </c>
      <c r="W238" s="47" t="n">
        <f aca="false">H238-V238</f>
        <v>0</v>
      </c>
      <c r="X238" s="48" t="n">
        <v>18</v>
      </c>
      <c r="Y238" s="48" t="n">
        <f aca="false">B238*$X238</f>
        <v>0</v>
      </c>
      <c r="Z238" s="48" t="n">
        <f aca="false">C238*$X238</f>
        <v>0</v>
      </c>
      <c r="AA238" s="48" t="n">
        <f aca="false">D238*$X238</f>
        <v>0</v>
      </c>
      <c r="AB238" s="48" t="n">
        <f aca="false">E238*$X238</f>
        <v>0</v>
      </c>
      <c r="AC238" s="48" t="n">
        <f aca="false">F238*$X238</f>
        <v>0</v>
      </c>
      <c r="AD238" s="48" t="n">
        <f aca="false">G238*$X238</f>
        <v>0</v>
      </c>
      <c r="AE238" s="48" t="n">
        <f aca="false">H238*$X238</f>
        <v>0</v>
      </c>
      <c r="AF238" s="48" t="n">
        <f aca="false">I238*$X238</f>
        <v>0</v>
      </c>
      <c r="AG238" s="48" t="n">
        <f aca="false">J238*$X238</f>
        <v>0</v>
      </c>
      <c r="AH238" s="48" t="n">
        <f aca="false">K238*$X238</f>
        <v>0</v>
      </c>
      <c r="AI238" s="48" t="n">
        <f aca="false">L238*$X238</f>
        <v>0</v>
      </c>
      <c r="AJ238" s="48" t="n">
        <f aca="false">M238*$X238</f>
        <v>0</v>
      </c>
      <c r="AK238" s="48" t="n">
        <f aca="false">N238*$X238</f>
        <v>0</v>
      </c>
      <c r="AL238" s="48" t="n">
        <f aca="false">O238*$X238</f>
        <v>0</v>
      </c>
      <c r="AM238" s="48" t="n">
        <f aca="false">P238*$X238</f>
        <v>0</v>
      </c>
      <c r="AN238" s="48" t="n">
        <f aca="false">Q238*$X238</f>
        <v>0</v>
      </c>
      <c r="AO238" s="48" t="n">
        <f aca="false">R238*$X238</f>
        <v>0</v>
      </c>
      <c r="AP238" s="48" t="n">
        <f aca="false">S238*$X238</f>
        <v>0</v>
      </c>
      <c r="AQ238" s="48" t="n">
        <f aca="false">T238*$X238</f>
        <v>0</v>
      </c>
      <c r="AR238" s="48" t="n">
        <f aca="false">U238*$X238</f>
        <v>0</v>
      </c>
      <c r="AS238" s="48" t="n">
        <f aca="false">V238*$X238</f>
        <v>0</v>
      </c>
      <c r="AT238" s="48" t="n">
        <f aca="false">W238*$X238</f>
        <v>0</v>
      </c>
      <c r="AU238" s="48" t="n">
        <f aca="false">X238*$X238</f>
        <v>324</v>
      </c>
      <c r="AV238" s="48" t="n">
        <f aca="false">Y238*$X238</f>
        <v>0</v>
      </c>
      <c r="AW238" s="48" t="n">
        <f aca="false">Z238*$X238</f>
        <v>0</v>
      </c>
      <c r="AX238" s="48" t="n">
        <f aca="false">AA238*$X238</f>
        <v>0</v>
      </c>
      <c r="AY238" s="48" t="n">
        <f aca="false">AB238*$X238</f>
        <v>0</v>
      </c>
      <c r="AZ238" s="48" t="n">
        <f aca="false">AC238*$X238</f>
        <v>0</v>
      </c>
      <c r="BA238" s="1"/>
      <c r="BB238" s="1"/>
      <c r="BC238" s="1"/>
      <c r="BD238" s="1"/>
      <c r="BE238" s="1"/>
      <c r="BF238" s="1"/>
    </row>
    <row r="239" s="48" customFormat="true" ht="15" hidden="false" customHeight="true" outlineLevel="0" collapsed="false">
      <c r="A239" s="42" t="s">
        <v>308</v>
      </c>
      <c r="B239" s="42" t="n">
        <v>0</v>
      </c>
      <c r="C239" s="43"/>
      <c r="D239" s="44"/>
      <c r="E239" s="44"/>
      <c r="F239" s="44"/>
      <c r="G239" s="44"/>
      <c r="H239" s="44" t="n">
        <f aca="false">B239+D239+E239+F239+G239+C239</f>
        <v>0</v>
      </c>
      <c r="I239" s="45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7" t="n">
        <f aca="false">J239+K239+L239+M239+N239+O239+P239+Q239+R239+S239+T239+U239</f>
        <v>0</v>
      </c>
      <c r="W239" s="47" t="n">
        <f aca="false">H239-V239</f>
        <v>0</v>
      </c>
      <c r="X239" s="48" t="n">
        <v>18.9</v>
      </c>
      <c r="Y239" s="48" t="n">
        <f aca="false">B239*$X239</f>
        <v>0</v>
      </c>
      <c r="Z239" s="48" t="n">
        <f aca="false">C239*$X239</f>
        <v>0</v>
      </c>
      <c r="AA239" s="48" t="n">
        <f aca="false">D239*$X239</f>
        <v>0</v>
      </c>
      <c r="AB239" s="48" t="n">
        <f aca="false">E239*$X239</f>
        <v>0</v>
      </c>
      <c r="AC239" s="48" t="n">
        <f aca="false">F239*$X239</f>
        <v>0</v>
      </c>
      <c r="AD239" s="48" t="n">
        <f aca="false">G239*$X239</f>
        <v>0</v>
      </c>
      <c r="AE239" s="48" t="n">
        <f aca="false">H239*$X239</f>
        <v>0</v>
      </c>
      <c r="AF239" s="48" t="n">
        <f aca="false">I239*$X239</f>
        <v>0</v>
      </c>
      <c r="AG239" s="48" t="n">
        <f aca="false">J239*$X239</f>
        <v>0</v>
      </c>
      <c r="AH239" s="48" t="n">
        <f aca="false">K239*$X239</f>
        <v>0</v>
      </c>
      <c r="AI239" s="48" t="n">
        <f aca="false">L239*$X239</f>
        <v>0</v>
      </c>
      <c r="AJ239" s="48" t="n">
        <f aca="false">M239*$X239</f>
        <v>0</v>
      </c>
      <c r="AK239" s="48" t="n">
        <f aca="false">N239*$X239</f>
        <v>0</v>
      </c>
      <c r="AL239" s="48" t="n">
        <f aca="false">O239*$X239</f>
        <v>0</v>
      </c>
      <c r="AM239" s="48" t="n">
        <f aca="false">P239*$X239</f>
        <v>0</v>
      </c>
      <c r="AN239" s="48" t="n">
        <f aca="false">Q239*$X239</f>
        <v>0</v>
      </c>
      <c r="AO239" s="48" t="n">
        <f aca="false">R239*$X239</f>
        <v>0</v>
      </c>
      <c r="AP239" s="48" t="n">
        <f aca="false">S239*$X239</f>
        <v>0</v>
      </c>
      <c r="AQ239" s="48" t="n">
        <f aca="false">T239*$X239</f>
        <v>0</v>
      </c>
      <c r="AR239" s="48" t="n">
        <f aca="false">U239*$X239</f>
        <v>0</v>
      </c>
      <c r="AS239" s="48" t="n">
        <f aca="false">V239*$X239</f>
        <v>0</v>
      </c>
      <c r="AT239" s="48" t="n">
        <f aca="false">W239*$X239</f>
        <v>0</v>
      </c>
      <c r="AU239" s="48" t="n">
        <f aca="false">X239*$X239</f>
        <v>357.21</v>
      </c>
      <c r="AV239" s="48" t="n">
        <f aca="false">Y239*$X239</f>
        <v>0</v>
      </c>
      <c r="AW239" s="48" t="n">
        <f aca="false">Z239*$X239</f>
        <v>0</v>
      </c>
      <c r="AX239" s="48" t="n">
        <f aca="false">AA239*$X239</f>
        <v>0</v>
      </c>
      <c r="AY239" s="48" t="n">
        <f aca="false">AB239*$X239</f>
        <v>0</v>
      </c>
      <c r="AZ239" s="48" t="n">
        <f aca="false">AC239*$X239</f>
        <v>0</v>
      </c>
      <c r="BA239" s="1"/>
      <c r="BB239" s="1"/>
      <c r="BC239" s="1"/>
      <c r="BD239" s="1"/>
      <c r="BE239" s="1"/>
      <c r="BF239" s="1"/>
    </row>
    <row r="240" s="48" customFormat="true" ht="15" hidden="false" customHeight="true" outlineLevel="0" collapsed="false">
      <c r="A240" s="42" t="s">
        <v>309</v>
      </c>
      <c r="B240" s="42" t="n">
        <v>0</v>
      </c>
      <c r="C240" s="43"/>
      <c r="D240" s="44"/>
      <c r="E240" s="44"/>
      <c r="F240" s="44"/>
      <c r="G240" s="44"/>
      <c r="H240" s="44" t="n">
        <f aca="false">B240+D240+E240+F240+G240+C240</f>
        <v>0</v>
      </c>
      <c r="I240" s="45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7" t="n">
        <f aca="false">J240+K240+L240+M240+N240+O240+P240+Q240+R240+S240+T240+U240</f>
        <v>0</v>
      </c>
      <c r="W240" s="47" t="n">
        <f aca="false">H240-V240</f>
        <v>0</v>
      </c>
      <c r="X240" s="48" t="n">
        <v>19.8</v>
      </c>
      <c r="Y240" s="48" t="n">
        <f aca="false">B240*$X240</f>
        <v>0</v>
      </c>
      <c r="Z240" s="48" t="n">
        <f aca="false">C240*$X240</f>
        <v>0</v>
      </c>
      <c r="AA240" s="48" t="n">
        <f aca="false">D240*$X240</f>
        <v>0</v>
      </c>
      <c r="AB240" s="48" t="n">
        <f aca="false">E240*$X240</f>
        <v>0</v>
      </c>
      <c r="AC240" s="48" t="n">
        <f aca="false">F240*$X240</f>
        <v>0</v>
      </c>
      <c r="AD240" s="48" t="n">
        <f aca="false">G240*$X240</f>
        <v>0</v>
      </c>
      <c r="AE240" s="48" t="n">
        <f aca="false">H240*$X240</f>
        <v>0</v>
      </c>
      <c r="AF240" s="48" t="n">
        <f aca="false">I240*$X240</f>
        <v>0</v>
      </c>
      <c r="AG240" s="48" t="n">
        <f aca="false">J240*$X240</f>
        <v>0</v>
      </c>
      <c r="AH240" s="48" t="n">
        <f aca="false">K240*$X240</f>
        <v>0</v>
      </c>
      <c r="AI240" s="48" t="n">
        <f aca="false">L240*$X240</f>
        <v>0</v>
      </c>
      <c r="AJ240" s="48" t="n">
        <f aca="false">M240*$X240</f>
        <v>0</v>
      </c>
      <c r="AK240" s="48" t="n">
        <f aca="false">N240*$X240</f>
        <v>0</v>
      </c>
      <c r="AL240" s="48" t="n">
        <f aca="false">O240*$X240</f>
        <v>0</v>
      </c>
      <c r="AM240" s="48" t="n">
        <f aca="false">P240*$X240</f>
        <v>0</v>
      </c>
      <c r="AN240" s="48" t="n">
        <f aca="false">Q240*$X240</f>
        <v>0</v>
      </c>
      <c r="AO240" s="48" t="n">
        <f aca="false">R240*$X240</f>
        <v>0</v>
      </c>
      <c r="AP240" s="48" t="n">
        <f aca="false">S240*$X240</f>
        <v>0</v>
      </c>
      <c r="AQ240" s="48" t="n">
        <f aca="false">T240*$X240</f>
        <v>0</v>
      </c>
      <c r="AR240" s="48" t="n">
        <f aca="false">U240*$X240</f>
        <v>0</v>
      </c>
      <c r="AS240" s="48" t="n">
        <f aca="false">V240*$X240</f>
        <v>0</v>
      </c>
      <c r="AT240" s="48" t="n">
        <f aca="false">W240*$X240</f>
        <v>0</v>
      </c>
      <c r="AU240" s="48" t="n">
        <f aca="false">X240*$X240</f>
        <v>392.04</v>
      </c>
      <c r="AV240" s="48" t="n">
        <f aca="false">Y240*$X240</f>
        <v>0</v>
      </c>
      <c r="AW240" s="48" t="n">
        <f aca="false">Z240*$X240</f>
        <v>0</v>
      </c>
      <c r="AX240" s="48" t="n">
        <f aca="false">AA240*$X240</f>
        <v>0</v>
      </c>
      <c r="AY240" s="48" t="n">
        <f aca="false">AB240*$X240</f>
        <v>0</v>
      </c>
      <c r="AZ240" s="48" t="n">
        <f aca="false">AC240*$X240</f>
        <v>0</v>
      </c>
      <c r="BA240" s="1"/>
      <c r="BB240" s="1"/>
      <c r="BC240" s="1"/>
      <c r="BD240" s="1"/>
      <c r="BE240" s="1"/>
      <c r="BF240" s="1"/>
    </row>
    <row r="241" s="48" customFormat="true" ht="15" hidden="false" customHeight="true" outlineLevel="0" collapsed="false">
      <c r="A241" s="42" t="s">
        <v>310</v>
      </c>
      <c r="B241" s="42" t="n">
        <v>0</v>
      </c>
      <c r="C241" s="43"/>
      <c r="D241" s="44"/>
      <c r="E241" s="44"/>
      <c r="F241" s="44"/>
      <c r="G241" s="44"/>
      <c r="H241" s="44" t="n">
        <f aca="false">B241+D241+E241+F241+G241+C241</f>
        <v>0</v>
      </c>
      <c r="I241" s="45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7" t="n">
        <f aca="false">J241+K241+L241+M241+N241+O241+P241+Q241+R241+S241+T241+U241</f>
        <v>0</v>
      </c>
      <c r="W241" s="47" t="n">
        <f aca="false">H241-V241</f>
        <v>0</v>
      </c>
      <c r="X241" s="48" t="n">
        <v>20.7</v>
      </c>
      <c r="Y241" s="48" t="n">
        <f aca="false">B241*$X241</f>
        <v>0</v>
      </c>
      <c r="Z241" s="48" t="n">
        <f aca="false">C241*$X241</f>
        <v>0</v>
      </c>
      <c r="AA241" s="48" t="n">
        <f aca="false">D241*$X241</f>
        <v>0</v>
      </c>
      <c r="AB241" s="48" t="n">
        <f aca="false">E241*$X241</f>
        <v>0</v>
      </c>
      <c r="AC241" s="48" t="n">
        <f aca="false">F241*$X241</f>
        <v>0</v>
      </c>
      <c r="AD241" s="48" t="n">
        <f aca="false">G241*$X241</f>
        <v>0</v>
      </c>
      <c r="AE241" s="48" t="n">
        <f aca="false">H241*$X241</f>
        <v>0</v>
      </c>
      <c r="AF241" s="48" t="n">
        <f aca="false">I241*$X241</f>
        <v>0</v>
      </c>
      <c r="AG241" s="48" t="n">
        <f aca="false">J241*$X241</f>
        <v>0</v>
      </c>
      <c r="AH241" s="48" t="n">
        <f aca="false">K241*$X241</f>
        <v>0</v>
      </c>
      <c r="AI241" s="48" t="n">
        <f aca="false">L241*$X241</f>
        <v>0</v>
      </c>
      <c r="AJ241" s="48" t="n">
        <f aca="false">M241*$X241</f>
        <v>0</v>
      </c>
      <c r="AK241" s="48" t="n">
        <f aca="false">N241*$X241</f>
        <v>0</v>
      </c>
      <c r="AL241" s="48" t="n">
        <f aca="false">O241*$X241</f>
        <v>0</v>
      </c>
      <c r="AM241" s="48" t="n">
        <f aca="false">P241*$X241</f>
        <v>0</v>
      </c>
      <c r="AN241" s="48" t="n">
        <f aca="false">Q241*$X241</f>
        <v>0</v>
      </c>
      <c r="AO241" s="48" t="n">
        <f aca="false">R241*$X241</f>
        <v>0</v>
      </c>
      <c r="AP241" s="48" t="n">
        <f aca="false">S241*$X241</f>
        <v>0</v>
      </c>
      <c r="AQ241" s="48" t="n">
        <f aca="false">T241*$X241</f>
        <v>0</v>
      </c>
      <c r="AR241" s="48" t="n">
        <f aca="false">U241*$X241</f>
        <v>0</v>
      </c>
      <c r="AS241" s="48" t="n">
        <f aca="false">V241*$X241</f>
        <v>0</v>
      </c>
      <c r="AT241" s="48" t="n">
        <f aca="false">W241*$X241</f>
        <v>0</v>
      </c>
      <c r="AU241" s="48" t="n">
        <f aca="false">X241*$X241</f>
        <v>428.49</v>
      </c>
      <c r="AV241" s="48" t="n">
        <f aca="false">Y241*$X241</f>
        <v>0</v>
      </c>
      <c r="AW241" s="48" t="n">
        <f aca="false">Z241*$X241</f>
        <v>0</v>
      </c>
      <c r="AX241" s="48" t="n">
        <f aca="false">AA241*$X241</f>
        <v>0</v>
      </c>
      <c r="AY241" s="48" t="n">
        <f aca="false">AB241*$X241</f>
        <v>0</v>
      </c>
      <c r="AZ241" s="48" t="n">
        <f aca="false">AC241*$X241</f>
        <v>0</v>
      </c>
      <c r="BA241" s="1"/>
      <c r="BB241" s="1"/>
      <c r="BC241" s="1"/>
      <c r="BD241" s="1"/>
      <c r="BE241" s="1"/>
      <c r="BF241" s="1"/>
    </row>
    <row r="242" s="48" customFormat="true" ht="15" hidden="false" customHeight="true" outlineLevel="0" collapsed="false">
      <c r="A242" s="42" t="s">
        <v>311</v>
      </c>
      <c r="B242" s="42" t="n">
        <v>1</v>
      </c>
      <c r="C242" s="43"/>
      <c r="D242" s="44"/>
      <c r="E242" s="44"/>
      <c r="F242" s="44"/>
      <c r="G242" s="44"/>
      <c r="H242" s="44" t="n">
        <f aca="false">B242+D242+E242+F242+G242+C242</f>
        <v>1</v>
      </c>
      <c r="I242" s="45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7" t="n">
        <f aca="false">J242+K242+L242+M242+N242+O242+P242+Q242+R242+S242+T242+U242</f>
        <v>0</v>
      </c>
      <c r="W242" s="47" t="n">
        <f aca="false">H242-V242</f>
        <v>1</v>
      </c>
      <c r="X242" s="48" t="n">
        <v>21.6</v>
      </c>
      <c r="Y242" s="48" t="n">
        <f aca="false">B242*$X242</f>
        <v>21.6</v>
      </c>
      <c r="Z242" s="48" t="n">
        <f aca="false">C242*$X242</f>
        <v>0</v>
      </c>
      <c r="AA242" s="48" t="n">
        <f aca="false">D242*$X242</f>
        <v>0</v>
      </c>
      <c r="AB242" s="48" t="n">
        <f aca="false">E242*$X242</f>
        <v>0</v>
      </c>
      <c r="AC242" s="48" t="n">
        <f aca="false">F242*$X242</f>
        <v>0</v>
      </c>
      <c r="AD242" s="48" t="n">
        <f aca="false">G242*$X242</f>
        <v>0</v>
      </c>
      <c r="AE242" s="48" t="n">
        <f aca="false">H242*$X242</f>
        <v>21.6</v>
      </c>
      <c r="AF242" s="48" t="n">
        <f aca="false">I242*$X242</f>
        <v>0</v>
      </c>
      <c r="AG242" s="48" t="n">
        <f aca="false">J242*$X242</f>
        <v>0</v>
      </c>
      <c r="AH242" s="48" t="n">
        <f aca="false">K242*$X242</f>
        <v>0</v>
      </c>
      <c r="AI242" s="48" t="n">
        <f aca="false">L242*$X242</f>
        <v>0</v>
      </c>
      <c r="AJ242" s="48" t="n">
        <f aca="false">M242*$X242</f>
        <v>0</v>
      </c>
      <c r="AK242" s="48" t="n">
        <f aca="false">N242*$X242</f>
        <v>0</v>
      </c>
      <c r="AL242" s="48" t="n">
        <f aca="false">O242*$X242</f>
        <v>0</v>
      </c>
      <c r="AM242" s="48" t="n">
        <f aca="false">P242*$X242</f>
        <v>0</v>
      </c>
      <c r="AN242" s="48" t="n">
        <f aca="false">Q242*$X242</f>
        <v>0</v>
      </c>
      <c r="AO242" s="48" t="n">
        <f aca="false">R242*$X242</f>
        <v>0</v>
      </c>
      <c r="AP242" s="48" t="n">
        <f aca="false">S242*$X242</f>
        <v>0</v>
      </c>
      <c r="AQ242" s="48" t="n">
        <f aca="false">T242*$X242</f>
        <v>0</v>
      </c>
      <c r="AR242" s="48" t="n">
        <f aca="false">U242*$X242</f>
        <v>0</v>
      </c>
      <c r="AS242" s="48" t="n">
        <f aca="false">V242*$X242</f>
        <v>0</v>
      </c>
      <c r="AT242" s="48" t="n">
        <f aca="false">W242*$X242</f>
        <v>21.6</v>
      </c>
      <c r="AU242" s="48" t="n">
        <f aca="false">X242*$X242</f>
        <v>466.56</v>
      </c>
      <c r="AV242" s="48" t="n">
        <f aca="false">Y242*$X242</f>
        <v>466.56</v>
      </c>
      <c r="AW242" s="48" t="n">
        <f aca="false">Z242*$X242</f>
        <v>0</v>
      </c>
      <c r="AX242" s="48" t="n">
        <f aca="false">AA242*$X242</f>
        <v>0</v>
      </c>
      <c r="AY242" s="48" t="n">
        <f aca="false">AB242*$X242</f>
        <v>0</v>
      </c>
      <c r="AZ242" s="48" t="n">
        <f aca="false">AC242*$X242</f>
        <v>0</v>
      </c>
      <c r="BA242" s="1"/>
      <c r="BB242" s="1"/>
      <c r="BC242" s="1"/>
      <c r="BD242" s="1"/>
      <c r="BE242" s="1"/>
      <c r="BF242" s="1"/>
    </row>
    <row r="243" s="48" customFormat="true" ht="15" hidden="false" customHeight="true" outlineLevel="0" collapsed="false">
      <c r="A243" s="42" t="s">
        <v>312</v>
      </c>
      <c r="B243" s="42" t="n">
        <v>0</v>
      </c>
      <c r="C243" s="43"/>
      <c r="D243" s="44"/>
      <c r="E243" s="44"/>
      <c r="F243" s="44"/>
      <c r="G243" s="44"/>
      <c r="H243" s="44" t="n">
        <f aca="false">B243+D243+E243+F243+G243+C243</f>
        <v>0</v>
      </c>
      <c r="I243" s="45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7" t="n">
        <f aca="false">J243+K243+L243+M243+N243+O243+P243+Q243+R243+S243+T243+U243</f>
        <v>0</v>
      </c>
      <c r="W243" s="47" t="n">
        <f aca="false">H243-V243</f>
        <v>0</v>
      </c>
      <c r="X243" s="48" t="n">
        <v>6.25</v>
      </c>
      <c r="Y243" s="48" t="n">
        <f aca="false">B243*$X243</f>
        <v>0</v>
      </c>
      <c r="Z243" s="48" t="n">
        <f aca="false">C243*$X243</f>
        <v>0</v>
      </c>
      <c r="AA243" s="48" t="n">
        <f aca="false">D243*$X243</f>
        <v>0</v>
      </c>
      <c r="AB243" s="48" t="n">
        <f aca="false">E243*$X243</f>
        <v>0</v>
      </c>
      <c r="AC243" s="48" t="n">
        <f aca="false">F243*$X243</f>
        <v>0</v>
      </c>
      <c r="AD243" s="48" t="n">
        <f aca="false">G243*$X243</f>
        <v>0</v>
      </c>
      <c r="AE243" s="48" t="n">
        <f aca="false">H243*$X243</f>
        <v>0</v>
      </c>
      <c r="AF243" s="48" t="n">
        <f aca="false">I243*$X243</f>
        <v>0</v>
      </c>
      <c r="AG243" s="48" t="n">
        <f aca="false">J243*$X243</f>
        <v>0</v>
      </c>
      <c r="AH243" s="48" t="n">
        <f aca="false">K243*$X243</f>
        <v>0</v>
      </c>
      <c r="AI243" s="48" t="n">
        <f aca="false">L243*$X243</f>
        <v>0</v>
      </c>
      <c r="AJ243" s="48" t="n">
        <f aca="false">M243*$X243</f>
        <v>0</v>
      </c>
      <c r="AK243" s="48" t="n">
        <f aca="false">N243*$X243</f>
        <v>0</v>
      </c>
      <c r="AL243" s="48" t="n">
        <f aca="false">O243*$X243</f>
        <v>0</v>
      </c>
      <c r="AM243" s="48" t="n">
        <f aca="false">P243*$X243</f>
        <v>0</v>
      </c>
      <c r="AN243" s="48" t="n">
        <f aca="false">Q243*$X243</f>
        <v>0</v>
      </c>
      <c r="AO243" s="48" t="n">
        <f aca="false">R243*$X243</f>
        <v>0</v>
      </c>
      <c r="AP243" s="48" t="n">
        <f aca="false">S243*$X243</f>
        <v>0</v>
      </c>
      <c r="AQ243" s="48" t="n">
        <f aca="false">T243*$X243</f>
        <v>0</v>
      </c>
      <c r="AR243" s="48" t="n">
        <f aca="false">U243*$X243</f>
        <v>0</v>
      </c>
      <c r="AS243" s="48" t="n">
        <f aca="false">V243*$X243</f>
        <v>0</v>
      </c>
      <c r="AT243" s="48" t="n">
        <f aca="false">W243*$X243</f>
        <v>0</v>
      </c>
      <c r="AU243" s="48" t="n">
        <f aca="false">X243*$X243</f>
        <v>39.0625</v>
      </c>
      <c r="AV243" s="48" t="n">
        <f aca="false">Y243*$X243</f>
        <v>0</v>
      </c>
      <c r="AW243" s="48" t="n">
        <f aca="false">Z243*$X243</f>
        <v>0</v>
      </c>
      <c r="AX243" s="48" t="n">
        <f aca="false">AA243*$X243</f>
        <v>0</v>
      </c>
      <c r="AY243" s="48" t="n">
        <f aca="false">AB243*$X243</f>
        <v>0</v>
      </c>
      <c r="AZ243" s="48" t="n">
        <f aca="false">AC243*$X243</f>
        <v>0</v>
      </c>
      <c r="BA243" s="1"/>
      <c r="BB243" s="1"/>
      <c r="BC243" s="1"/>
      <c r="BD243" s="1"/>
      <c r="BE243" s="1"/>
      <c r="BF243" s="1"/>
    </row>
    <row r="244" s="48" customFormat="true" ht="15" hidden="false" customHeight="true" outlineLevel="0" collapsed="false">
      <c r="A244" s="42" t="s">
        <v>313</v>
      </c>
      <c r="B244" s="42" t="n">
        <v>3</v>
      </c>
      <c r="C244" s="43"/>
      <c r="D244" s="44"/>
      <c r="E244" s="44"/>
      <c r="F244" s="44"/>
      <c r="G244" s="44"/>
      <c r="H244" s="44" t="n">
        <f aca="false">B244+D244+E244+F244+G244+C244</f>
        <v>3</v>
      </c>
      <c r="I244" s="45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7" t="n">
        <f aca="false">J244+K244+L244+M244+N244+O244+P244+Q244+R244+S244+T244+U244</f>
        <v>0</v>
      </c>
      <c r="W244" s="47" t="n">
        <f aca="false">H244-V244</f>
        <v>3</v>
      </c>
      <c r="X244" s="48" t="n">
        <v>7.5</v>
      </c>
      <c r="Y244" s="48" t="n">
        <f aca="false">B244*$X244</f>
        <v>22.5</v>
      </c>
      <c r="Z244" s="48" t="n">
        <f aca="false">C244*$X244</f>
        <v>0</v>
      </c>
      <c r="AA244" s="48" t="n">
        <f aca="false">D244*$X244</f>
        <v>0</v>
      </c>
      <c r="AB244" s="48" t="n">
        <f aca="false">E244*$X244</f>
        <v>0</v>
      </c>
      <c r="AC244" s="48" t="n">
        <f aca="false">F244*$X244</f>
        <v>0</v>
      </c>
      <c r="AD244" s="48" t="n">
        <f aca="false">G244*$X244</f>
        <v>0</v>
      </c>
      <c r="AE244" s="48" t="n">
        <f aca="false">H244*$X244</f>
        <v>22.5</v>
      </c>
      <c r="AF244" s="48" t="n">
        <f aca="false">I244*$X244</f>
        <v>0</v>
      </c>
      <c r="AG244" s="48" t="n">
        <f aca="false">J244*$X244</f>
        <v>0</v>
      </c>
      <c r="AH244" s="48" t="n">
        <f aca="false">K244*$X244</f>
        <v>0</v>
      </c>
      <c r="AI244" s="48" t="n">
        <f aca="false">L244*$X244</f>
        <v>0</v>
      </c>
      <c r="AJ244" s="48" t="n">
        <f aca="false">M244*$X244</f>
        <v>0</v>
      </c>
      <c r="AK244" s="48" t="n">
        <f aca="false">N244*$X244</f>
        <v>0</v>
      </c>
      <c r="AL244" s="48" t="n">
        <f aca="false">O244*$X244</f>
        <v>0</v>
      </c>
      <c r="AM244" s="48" t="n">
        <f aca="false">P244*$X244</f>
        <v>0</v>
      </c>
      <c r="AN244" s="48" t="n">
        <f aca="false">Q244*$X244</f>
        <v>0</v>
      </c>
      <c r="AO244" s="48" t="n">
        <f aca="false">R244*$X244</f>
        <v>0</v>
      </c>
      <c r="AP244" s="48" t="n">
        <f aca="false">S244*$X244</f>
        <v>0</v>
      </c>
      <c r="AQ244" s="48" t="n">
        <f aca="false">T244*$X244</f>
        <v>0</v>
      </c>
      <c r="AR244" s="48" t="n">
        <f aca="false">U244*$X244</f>
        <v>0</v>
      </c>
      <c r="AS244" s="48" t="n">
        <f aca="false">V244*$X244</f>
        <v>0</v>
      </c>
      <c r="AT244" s="48" t="n">
        <f aca="false">W244*$X244</f>
        <v>22.5</v>
      </c>
      <c r="AU244" s="48" t="n">
        <f aca="false">X244*$X244</f>
        <v>56.25</v>
      </c>
      <c r="AV244" s="48" t="n">
        <f aca="false">Y244*$X244</f>
        <v>168.75</v>
      </c>
      <c r="AW244" s="48" t="n">
        <f aca="false">Z244*$X244</f>
        <v>0</v>
      </c>
      <c r="AX244" s="48" t="n">
        <f aca="false">AA244*$X244</f>
        <v>0</v>
      </c>
      <c r="AY244" s="48" t="n">
        <f aca="false">AB244*$X244</f>
        <v>0</v>
      </c>
      <c r="AZ244" s="48" t="n">
        <f aca="false">AC244*$X244</f>
        <v>0</v>
      </c>
      <c r="BA244" s="1"/>
      <c r="BB244" s="1"/>
      <c r="BC244" s="1"/>
      <c r="BD244" s="1"/>
      <c r="BE244" s="1"/>
      <c r="BF244" s="1"/>
    </row>
    <row r="245" s="48" customFormat="true" ht="15" hidden="false" customHeight="true" outlineLevel="0" collapsed="false">
      <c r="A245" s="42" t="s">
        <v>314</v>
      </c>
      <c r="B245" s="42" t="n">
        <v>7</v>
      </c>
      <c r="C245" s="43"/>
      <c r="D245" s="44"/>
      <c r="E245" s="44"/>
      <c r="F245" s="44"/>
      <c r="G245" s="44"/>
      <c r="H245" s="44" t="n">
        <f aca="false">B245+D245+E245+F245+G245+C245</f>
        <v>7</v>
      </c>
      <c r="I245" s="45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7" t="n">
        <f aca="false">J245+K245+L245+M245+N245+O245+P245+Q245+R245+S245+T245+U245</f>
        <v>0</v>
      </c>
      <c r="W245" s="47" t="n">
        <f aca="false">H245-V245</f>
        <v>7</v>
      </c>
      <c r="X245" s="48" t="n">
        <v>10</v>
      </c>
      <c r="Y245" s="48" t="n">
        <f aca="false">B245*$X245</f>
        <v>70</v>
      </c>
      <c r="Z245" s="48" t="n">
        <f aca="false">C245*$X245</f>
        <v>0</v>
      </c>
      <c r="AA245" s="48" t="n">
        <f aca="false">D245*$X245</f>
        <v>0</v>
      </c>
      <c r="AB245" s="48" t="n">
        <f aca="false">E245*$X245</f>
        <v>0</v>
      </c>
      <c r="AC245" s="48" t="n">
        <f aca="false">F245*$X245</f>
        <v>0</v>
      </c>
      <c r="AD245" s="48" t="n">
        <f aca="false">G245*$X245</f>
        <v>0</v>
      </c>
      <c r="AE245" s="48" t="n">
        <f aca="false">H245*$X245</f>
        <v>70</v>
      </c>
      <c r="AF245" s="48" t="n">
        <f aca="false">I245*$X245</f>
        <v>0</v>
      </c>
      <c r="AG245" s="48" t="n">
        <f aca="false">J245*$X245</f>
        <v>0</v>
      </c>
      <c r="AH245" s="48" t="n">
        <f aca="false">K245*$X245</f>
        <v>0</v>
      </c>
      <c r="AI245" s="48" t="n">
        <f aca="false">L245*$X245</f>
        <v>0</v>
      </c>
      <c r="AJ245" s="48" t="n">
        <f aca="false">M245*$X245</f>
        <v>0</v>
      </c>
      <c r="AK245" s="48" t="n">
        <f aca="false">N245*$X245</f>
        <v>0</v>
      </c>
      <c r="AL245" s="48" t="n">
        <f aca="false">O245*$X245</f>
        <v>0</v>
      </c>
      <c r="AM245" s="48" t="n">
        <f aca="false">P245*$X245</f>
        <v>0</v>
      </c>
      <c r="AN245" s="48" t="n">
        <f aca="false">Q245*$X245</f>
        <v>0</v>
      </c>
      <c r="AO245" s="48" t="n">
        <f aca="false">R245*$X245</f>
        <v>0</v>
      </c>
      <c r="AP245" s="48" t="n">
        <f aca="false">S245*$X245</f>
        <v>0</v>
      </c>
      <c r="AQ245" s="48" t="n">
        <f aca="false">T245*$X245</f>
        <v>0</v>
      </c>
      <c r="AR245" s="48" t="n">
        <f aca="false">U245*$X245</f>
        <v>0</v>
      </c>
      <c r="AS245" s="48" t="n">
        <f aca="false">V245*$X245</f>
        <v>0</v>
      </c>
      <c r="AT245" s="48" t="n">
        <f aca="false">W245*$X245</f>
        <v>70</v>
      </c>
      <c r="AU245" s="48" t="n">
        <f aca="false">X245*$X245</f>
        <v>100</v>
      </c>
      <c r="AV245" s="48" t="n">
        <f aca="false">Y245*$X245</f>
        <v>700</v>
      </c>
      <c r="AW245" s="48" t="n">
        <f aca="false">Z245*$X245</f>
        <v>0</v>
      </c>
      <c r="AX245" s="48" t="n">
        <f aca="false">AA245*$X245</f>
        <v>0</v>
      </c>
      <c r="AY245" s="48" t="n">
        <f aca="false">AB245*$X245</f>
        <v>0</v>
      </c>
      <c r="AZ245" s="48" t="n">
        <f aca="false">AC245*$X245</f>
        <v>0</v>
      </c>
      <c r="BA245" s="1"/>
      <c r="BB245" s="1"/>
      <c r="BC245" s="1"/>
      <c r="BD245" s="1"/>
      <c r="BE245" s="1"/>
      <c r="BF245" s="1"/>
    </row>
    <row r="246" s="48" customFormat="true" ht="15" hidden="false" customHeight="true" outlineLevel="0" collapsed="false">
      <c r="A246" s="42" t="s">
        <v>315</v>
      </c>
      <c r="B246" s="42" t="n">
        <v>6</v>
      </c>
      <c r="C246" s="43" t="n">
        <v>1</v>
      </c>
      <c r="D246" s="44"/>
      <c r="E246" s="44"/>
      <c r="F246" s="44"/>
      <c r="G246" s="44"/>
      <c r="H246" s="44" t="n">
        <f aca="false">B246+D246+E246+F246+G246+C246</f>
        <v>7</v>
      </c>
      <c r="I246" s="45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7" t="n">
        <f aca="false">J246+K246+L246+M246+N246+O246+P246+Q246+R246+S246+T246+U246</f>
        <v>0</v>
      </c>
      <c r="W246" s="47" t="n">
        <f aca="false">H246-V246</f>
        <v>7</v>
      </c>
      <c r="X246" s="48" t="n">
        <v>12.19</v>
      </c>
      <c r="Y246" s="48" t="n">
        <f aca="false">B246*$X246</f>
        <v>73.14</v>
      </c>
      <c r="Z246" s="48" t="n">
        <f aca="false">C246*$X246</f>
        <v>12.19</v>
      </c>
      <c r="AA246" s="48" t="n">
        <f aca="false">D246*$X246</f>
        <v>0</v>
      </c>
      <c r="AB246" s="48" t="n">
        <f aca="false">E246*$X246</f>
        <v>0</v>
      </c>
      <c r="AC246" s="48" t="n">
        <f aca="false">F246*$X246</f>
        <v>0</v>
      </c>
      <c r="AD246" s="48" t="n">
        <f aca="false">G246*$X246</f>
        <v>0</v>
      </c>
      <c r="AE246" s="48" t="n">
        <f aca="false">H246*$X246</f>
        <v>85.33</v>
      </c>
      <c r="AF246" s="48" t="n">
        <f aca="false">I246*$X246</f>
        <v>0</v>
      </c>
      <c r="AG246" s="48" t="n">
        <f aca="false">J246*$X246</f>
        <v>0</v>
      </c>
      <c r="AH246" s="48" t="n">
        <f aca="false">K246*$X246</f>
        <v>0</v>
      </c>
      <c r="AI246" s="48" t="n">
        <f aca="false">L246*$X246</f>
        <v>0</v>
      </c>
      <c r="AJ246" s="48" t="n">
        <f aca="false">M246*$X246</f>
        <v>0</v>
      </c>
      <c r="AK246" s="48" t="n">
        <f aca="false">N246*$X246</f>
        <v>0</v>
      </c>
      <c r="AL246" s="48" t="n">
        <f aca="false">O246*$X246</f>
        <v>0</v>
      </c>
      <c r="AM246" s="48" t="n">
        <f aca="false">P246*$X246</f>
        <v>0</v>
      </c>
      <c r="AN246" s="48" t="n">
        <f aca="false">Q246*$X246</f>
        <v>0</v>
      </c>
      <c r="AO246" s="48" t="n">
        <f aca="false">R246*$X246</f>
        <v>0</v>
      </c>
      <c r="AP246" s="48" t="n">
        <f aca="false">S246*$X246</f>
        <v>0</v>
      </c>
      <c r="AQ246" s="48" t="n">
        <f aca="false">T246*$X246</f>
        <v>0</v>
      </c>
      <c r="AR246" s="48" t="n">
        <f aca="false">U246*$X246</f>
        <v>0</v>
      </c>
      <c r="AS246" s="48" t="n">
        <f aca="false">V246*$X246</f>
        <v>0</v>
      </c>
      <c r="AT246" s="48" t="n">
        <f aca="false">W246*$X246</f>
        <v>85.33</v>
      </c>
      <c r="AU246" s="48" t="n">
        <f aca="false">X246*$X246</f>
        <v>148.5961</v>
      </c>
      <c r="AV246" s="48" t="n">
        <f aca="false">Y246*$X246</f>
        <v>891.5766</v>
      </c>
      <c r="AW246" s="48" t="n">
        <f aca="false">Z246*$X246</f>
        <v>148.5961</v>
      </c>
      <c r="AX246" s="48" t="n">
        <f aca="false">AA246*$X246</f>
        <v>0</v>
      </c>
      <c r="AY246" s="48" t="n">
        <f aca="false">AB246*$X246</f>
        <v>0</v>
      </c>
      <c r="AZ246" s="48" t="n">
        <f aca="false">AC246*$X246</f>
        <v>0</v>
      </c>
      <c r="BA246" s="1"/>
      <c r="BB246" s="1"/>
      <c r="BC246" s="1"/>
      <c r="BD246" s="1"/>
      <c r="BE246" s="1"/>
      <c r="BF246" s="1"/>
    </row>
    <row r="247" s="48" customFormat="true" ht="15" hidden="false" customHeight="true" outlineLevel="0" collapsed="false">
      <c r="A247" s="42" t="s">
        <v>316</v>
      </c>
      <c r="B247" s="42" t="n">
        <v>0</v>
      </c>
      <c r="C247" s="43"/>
      <c r="D247" s="44"/>
      <c r="E247" s="44"/>
      <c r="F247" s="44"/>
      <c r="G247" s="44"/>
      <c r="H247" s="44" t="n">
        <f aca="false">B247+D247+E247+F247+G247+C247</f>
        <v>0</v>
      </c>
      <c r="I247" s="45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7" t="n">
        <f aca="false">J247+K247+L247+M247+N247+O247+P247+Q247+R247+S247+T247+U247</f>
        <v>0</v>
      </c>
      <c r="W247" s="47" t="n">
        <f aca="false">H247-V247</f>
        <v>0</v>
      </c>
      <c r="X247" s="48" t="n">
        <v>21.88</v>
      </c>
      <c r="Y247" s="48" t="n">
        <f aca="false">B247*$X247</f>
        <v>0</v>
      </c>
      <c r="Z247" s="48" t="n">
        <f aca="false">C247*$X247</f>
        <v>0</v>
      </c>
      <c r="AA247" s="48" t="n">
        <f aca="false">D247*$X247</f>
        <v>0</v>
      </c>
      <c r="AB247" s="48" t="n">
        <f aca="false">E247*$X247</f>
        <v>0</v>
      </c>
      <c r="AC247" s="48" t="n">
        <f aca="false">F247*$X247</f>
        <v>0</v>
      </c>
      <c r="AD247" s="48" t="n">
        <f aca="false">G247*$X247</f>
        <v>0</v>
      </c>
      <c r="AE247" s="48" t="n">
        <f aca="false">H247*$X247</f>
        <v>0</v>
      </c>
      <c r="AF247" s="48" t="n">
        <f aca="false">I247*$X247</f>
        <v>0</v>
      </c>
      <c r="AG247" s="48" t="n">
        <f aca="false">J247*$X247</f>
        <v>0</v>
      </c>
      <c r="AH247" s="48" t="n">
        <f aca="false">K247*$X247</f>
        <v>0</v>
      </c>
      <c r="AI247" s="48" t="n">
        <f aca="false">L247*$X247</f>
        <v>0</v>
      </c>
      <c r="AJ247" s="48" t="n">
        <f aca="false">M247*$X247</f>
        <v>0</v>
      </c>
      <c r="AK247" s="48" t="n">
        <f aca="false">N247*$X247</f>
        <v>0</v>
      </c>
      <c r="AL247" s="48" t="n">
        <f aca="false">O247*$X247</f>
        <v>0</v>
      </c>
      <c r="AM247" s="48" t="n">
        <f aca="false">P247*$X247</f>
        <v>0</v>
      </c>
      <c r="AN247" s="48" t="n">
        <f aca="false">Q247*$X247</f>
        <v>0</v>
      </c>
      <c r="AO247" s="48" t="n">
        <f aca="false">R247*$X247</f>
        <v>0</v>
      </c>
      <c r="AP247" s="48" t="n">
        <f aca="false">S247*$X247</f>
        <v>0</v>
      </c>
      <c r="AQ247" s="48" t="n">
        <f aca="false">T247*$X247</f>
        <v>0</v>
      </c>
      <c r="AR247" s="48" t="n">
        <f aca="false">U247*$X247</f>
        <v>0</v>
      </c>
      <c r="AS247" s="48" t="n">
        <f aca="false">V247*$X247</f>
        <v>0</v>
      </c>
      <c r="AT247" s="48" t="n">
        <f aca="false">W247*$X247</f>
        <v>0</v>
      </c>
      <c r="AU247" s="48" t="n">
        <f aca="false">X247*$X247</f>
        <v>478.7344</v>
      </c>
      <c r="AV247" s="48" t="n">
        <f aca="false">Y247*$X247</f>
        <v>0</v>
      </c>
      <c r="AW247" s="48" t="n">
        <f aca="false">Z247*$X247</f>
        <v>0</v>
      </c>
      <c r="AX247" s="48" t="n">
        <f aca="false">AA247*$X247</f>
        <v>0</v>
      </c>
      <c r="AY247" s="48" t="n">
        <f aca="false">AB247*$X247</f>
        <v>0</v>
      </c>
      <c r="AZ247" s="48" t="n">
        <f aca="false">AC247*$X247</f>
        <v>0</v>
      </c>
      <c r="BA247" s="1"/>
      <c r="BB247" s="1"/>
      <c r="BC247" s="1"/>
      <c r="BD247" s="1"/>
      <c r="BE247" s="1"/>
      <c r="BF247" s="1"/>
    </row>
    <row r="248" s="48" customFormat="true" ht="15" hidden="false" customHeight="true" outlineLevel="0" collapsed="false">
      <c r="A248" s="42" t="s">
        <v>317</v>
      </c>
      <c r="B248" s="42" t="n">
        <v>0</v>
      </c>
      <c r="C248" s="43"/>
      <c r="D248" s="44"/>
      <c r="E248" s="44"/>
      <c r="F248" s="44"/>
      <c r="G248" s="44"/>
      <c r="H248" s="44" t="n">
        <f aca="false">B248+D248+E248+F248+G248+C248</f>
        <v>0</v>
      </c>
      <c r="I248" s="45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7" t="n">
        <f aca="false">J248+K248+L248+M248+N248+O248+P248+Q248+R248+S248+T248+U248</f>
        <v>0</v>
      </c>
      <c r="W248" s="47" t="n">
        <f aca="false">H248-V248</f>
        <v>0</v>
      </c>
      <c r="X248" s="48" t="n">
        <v>19.5</v>
      </c>
      <c r="Y248" s="48" t="n">
        <f aca="false">B248*$X248</f>
        <v>0</v>
      </c>
      <c r="Z248" s="48" t="n">
        <f aca="false">C248*$X248</f>
        <v>0</v>
      </c>
      <c r="AA248" s="48" t="n">
        <f aca="false">D248*$X248</f>
        <v>0</v>
      </c>
      <c r="AB248" s="48" t="n">
        <f aca="false">E248*$X248</f>
        <v>0</v>
      </c>
      <c r="AC248" s="48" t="n">
        <f aca="false">F248*$X248</f>
        <v>0</v>
      </c>
      <c r="AD248" s="48" t="n">
        <f aca="false">G248*$X248</f>
        <v>0</v>
      </c>
      <c r="AE248" s="48" t="n">
        <f aca="false">H248*$X248</f>
        <v>0</v>
      </c>
      <c r="AF248" s="48" t="n">
        <f aca="false">I248*$X248</f>
        <v>0</v>
      </c>
      <c r="AG248" s="48" t="n">
        <f aca="false">J248*$X248</f>
        <v>0</v>
      </c>
      <c r="AH248" s="48" t="n">
        <f aca="false">K248*$X248</f>
        <v>0</v>
      </c>
      <c r="AI248" s="48" t="n">
        <f aca="false">L248*$X248</f>
        <v>0</v>
      </c>
      <c r="AJ248" s="48" t="n">
        <f aca="false">M248*$X248</f>
        <v>0</v>
      </c>
      <c r="AK248" s="48" t="n">
        <f aca="false">N248*$X248</f>
        <v>0</v>
      </c>
      <c r="AL248" s="48" t="n">
        <f aca="false">O248*$X248</f>
        <v>0</v>
      </c>
      <c r="AM248" s="48" t="n">
        <f aca="false">P248*$X248</f>
        <v>0</v>
      </c>
      <c r="AN248" s="48" t="n">
        <f aca="false">Q248*$X248</f>
        <v>0</v>
      </c>
      <c r="AO248" s="48" t="n">
        <f aca="false">R248*$X248</f>
        <v>0</v>
      </c>
      <c r="AP248" s="48" t="n">
        <f aca="false">S248*$X248</f>
        <v>0</v>
      </c>
      <c r="AQ248" s="48" t="n">
        <f aca="false">T248*$X248</f>
        <v>0</v>
      </c>
      <c r="AR248" s="48" t="n">
        <f aca="false">U248*$X248</f>
        <v>0</v>
      </c>
      <c r="AS248" s="48" t="n">
        <f aca="false">V248*$X248</f>
        <v>0</v>
      </c>
      <c r="AT248" s="48" t="n">
        <f aca="false">W248*$X248</f>
        <v>0</v>
      </c>
      <c r="AU248" s="48" t="n">
        <f aca="false">X248*$X248</f>
        <v>380.25</v>
      </c>
      <c r="AV248" s="48" t="n">
        <f aca="false">Y248*$X248</f>
        <v>0</v>
      </c>
      <c r="AW248" s="48" t="n">
        <f aca="false">Z248*$X248</f>
        <v>0</v>
      </c>
      <c r="AX248" s="48" t="n">
        <f aca="false">AA248*$X248</f>
        <v>0</v>
      </c>
      <c r="AY248" s="48" t="n">
        <f aca="false">AB248*$X248</f>
        <v>0</v>
      </c>
      <c r="AZ248" s="48" t="n">
        <f aca="false">AC248*$X248</f>
        <v>0</v>
      </c>
      <c r="BA248" s="1"/>
      <c r="BB248" s="1"/>
      <c r="BC248" s="1"/>
      <c r="BD248" s="1"/>
      <c r="BE248" s="1"/>
      <c r="BF248" s="1"/>
    </row>
    <row r="249" s="48" customFormat="true" ht="15" hidden="false" customHeight="true" outlineLevel="0" collapsed="false">
      <c r="A249" s="42" t="s">
        <v>318</v>
      </c>
      <c r="B249" s="42" t="n">
        <v>0</v>
      </c>
      <c r="C249" s="43"/>
      <c r="D249" s="44"/>
      <c r="E249" s="44"/>
      <c r="F249" s="44"/>
      <c r="G249" s="44"/>
      <c r="H249" s="44" t="n">
        <f aca="false">B249+D249+E249+F249+G249+C249</f>
        <v>0</v>
      </c>
      <c r="I249" s="45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7" t="n">
        <f aca="false">J249+K249+L249+M249+N249+O249+P249+Q249+R249+S249+T249+U249</f>
        <v>0</v>
      </c>
      <c r="W249" s="47" t="n">
        <f aca="false">H249-V249</f>
        <v>0</v>
      </c>
      <c r="X249" s="48" t="n">
        <v>29.5</v>
      </c>
      <c r="Y249" s="48" t="n">
        <f aca="false">B249*$X249</f>
        <v>0</v>
      </c>
      <c r="Z249" s="48" t="n">
        <f aca="false">C249*$X249</f>
        <v>0</v>
      </c>
      <c r="AA249" s="48" t="n">
        <f aca="false">D249*$X249</f>
        <v>0</v>
      </c>
      <c r="AB249" s="48" t="n">
        <f aca="false">E249*$X249</f>
        <v>0</v>
      </c>
      <c r="AC249" s="48" t="n">
        <f aca="false">F249*$X249</f>
        <v>0</v>
      </c>
      <c r="AD249" s="48" t="n">
        <f aca="false">G249*$X249</f>
        <v>0</v>
      </c>
      <c r="AE249" s="48" t="n">
        <f aca="false">H249*$X249</f>
        <v>0</v>
      </c>
      <c r="AF249" s="48" t="n">
        <f aca="false">I249*$X249</f>
        <v>0</v>
      </c>
      <c r="AG249" s="48" t="n">
        <f aca="false">J249*$X249</f>
        <v>0</v>
      </c>
      <c r="AH249" s="48" t="n">
        <f aca="false">K249*$X249</f>
        <v>0</v>
      </c>
      <c r="AI249" s="48" t="n">
        <f aca="false">L249*$X249</f>
        <v>0</v>
      </c>
      <c r="AJ249" s="48" t="n">
        <f aca="false">M249*$X249</f>
        <v>0</v>
      </c>
      <c r="AK249" s="48" t="n">
        <f aca="false">N249*$X249</f>
        <v>0</v>
      </c>
      <c r="AL249" s="48" t="n">
        <f aca="false">O249*$X249</f>
        <v>0</v>
      </c>
      <c r="AM249" s="48" t="n">
        <f aca="false">P249*$X249</f>
        <v>0</v>
      </c>
      <c r="AN249" s="48" t="n">
        <f aca="false">Q249*$X249</f>
        <v>0</v>
      </c>
      <c r="AO249" s="48" t="n">
        <f aca="false">R249*$X249</f>
        <v>0</v>
      </c>
      <c r="AP249" s="48" t="n">
        <f aca="false">S249*$X249</f>
        <v>0</v>
      </c>
      <c r="AQ249" s="48" t="n">
        <f aca="false">T249*$X249</f>
        <v>0</v>
      </c>
      <c r="AR249" s="48" t="n">
        <f aca="false">U249*$X249</f>
        <v>0</v>
      </c>
      <c r="AS249" s="48" t="n">
        <f aca="false">V249*$X249</f>
        <v>0</v>
      </c>
      <c r="AT249" s="48" t="n">
        <f aca="false">W249*$X249</f>
        <v>0</v>
      </c>
      <c r="AU249" s="48" t="n">
        <f aca="false">X249*$X249</f>
        <v>870.25</v>
      </c>
      <c r="AV249" s="48" t="n">
        <f aca="false">Y249*$X249</f>
        <v>0</v>
      </c>
      <c r="AW249" s="48" t="n">
        <f aca="false">Z249*$X249</f>
        <v>0</v>
      </c>
      <c r="AX249" s="48" t="n">
        <f aca="false">AA249*$X249</f>
        <v>0</v>
      </c>
      <c r="AY249" s="48" t="n">
        <f aca="false">AB249*$X249</f>
        <v>0</v>
      </c>
      <c r="AZ249" s="48" t="n">
        <f aca="false">AC249*$X249</f>
        <v>0</v>
      </c>
      <c r="BA249" s="1"/>
      <c r="BB249" s="1"/>
      <c r="BC249" s="1"/>
      <c r="BD249" s="1"/>
      <c r="BE249" s="1"/>
      <c r="BF249" s="1"/>
    </row>
    <row r="250" s="48" customFormat="true" ht="15" hidden="false" customHeight="true" outlineLevel="0" collapsed="false">
      <c r="A250" s="55" t="s">
        <v>319</v>
      </c>
      <c r="B250" s="56" t="n">
        <f aca="false">Y250</f>
        <v>56487.82</v>
      </c>
      <c r="C250" s="56" t="n">
        <f aca="false">Z250</f>
        <v>831.17</v>
      </c>
      <c r="D250" s="56" t="n">
        <f aca="false">AA250</f>
        <v>10126.87</v>
      </c>
      <c r="E250" s="56" t="n">
        <f aca="false">AB250</f>
        <v>32661.55</v>
      </c>
      <c r="F250" s="56" t="n">
        <f aca="false">AC250</f>
        <v>3765.18</v>
      </c>
      <c r="G250" s="56" t="n">
        <f aca="false">AD250</f>
        <v>17726.56</v>
      </c>
      <c r="H250" s="56" t="n">
        <f aca="false">AE250</f>
        <v>121599.15</v>
      </c>
      <c r="I250" s="56" t="n">
        <f aca="false">AF250</f>
        <v>0</v>
      </c>
      <c r="J250" s="56" t="n">
        <f aca="false">AG250</f>
        <v>6941.9</v>
      </c>
      <c r="K250" s="56" t="n">
        <f aca="false">AH250</f>
        <v>6004.87</v>
      </c>
      <c r="L250" s="56" t="n">
        <f aca="false">AI250</f>
        <v>1489.28</v>
      </c>
      <c r="M250" s="56" t="n">
        <f aca="false">AJ250</f>
        <v>6941.85</v>
      </c>
      <c r="N250" s="56" t="n">
        <f aca="false">AK250</f>
        <v>23458.62</v>
      </c>
      <c r="O250" s="56" t="n">
        <f aca="false">AL250</f>
        <v>5172.24</v>
      </c>
      <c r="P250" s="56" t="n">
        <f aca="false">AM250</f>
        <v>9219.24</v>
      </c>
      <c r="Q250" s="56" t="n">
        <f aca="false">AN250</f>
        <v>7231.57</v>
      </c>
      <c r="R250" s="56" t="n">
        <f aca="false">AO250</f>
        <v>6886.05</v>
      </c>
      <c r="S250" s="56" t="n">
        <f aca="false">AP250</f>
        <v>5804.1</v>
      </c>
      <c r="T250" s="56" t="n">
        <f aca="false">AQ250</f>
        <v>2935.23</v>
      </c>
      <c r="U250" s="56" t="n">
        <f aca="false">AR250</f>
        <v>7264.18</v>
      </c>
      <c r="V250" s="56" t="n">
        <f aca="false">AS250</f>
        <v>89349.13</v>
      </c>
      <c r="W250" s="56" t="n">
        <f aca="false">AT250</f>
        <v>32250.02</v>
      </c>
      <c r="Y250" s="48" t="n">
        <f aca="false">SUM(Y5:Y249)</f>
        <v>56487.82</v>
      </c>
      <c r="Z250" s="48" t="n">
        <f aca="false">SUM(Z5:Z249)</f>
        <v>831.17</v>
      </c>
      <c r="AA250" s="48" t="n">
        <f aca="false">SUM(AA5:AA249)</f>
        <v>10126.87</v>
      </c>
      <c r="AB250" s="48" t="n">
        <f aca="false">SUM(AB5:AB249)</f>
        <v>32661.55</v>
      </c>
      <c r="AC250" s="48" t="n">
        <f aca="false">SUM(AC5:AC249)</f>
        <v>3765.18</v>
      </c>
      <c r="AD250" s="48" t="n">
        <f aca="false">SUM(AD5:AD249)</f>
        <v>17726.56</v>
      </c>
      <c r="AE250" s="48" t="n">
        <f aca="false">SUM(AE5:AE249)</f>
        <v>121599.15</v>
      </c>
      <c r="AF250" s="48" t="n">
        <f aca="false">SUM(AF5:AF249)</f>
        <v>0</v>
      </c>
      <c r="AG250" s="48" t="n">
        <f aca="false">SUM(AG5:AG249)</f>
        <v>6941.9</v>
      </c>
      <c r="AH250" s="48" t="n">
        <f aca="false">SUM(AH5:AH249)</f>
        <v>6004.87</v>
      </c>
      <c r="AI250" s="48" t="n">
        <f aca="false">SUM(AI5:AI249)</f>
        <v>1489.28</v>
      </c>
      <c r="AJ250" s="48" t="n">
        <f aca="false">SUM(AJ5:AJ249)</f>
        <v>6941.85</v>
      </c>
      <c r="AK250" s="48" t="n">
        <f aca="false">SUM(AK5:AK249)</f>
        <v>23458.62</v>
      </c>
      <c r="AL250" s="48" t="n">
        <f aca="false">SUM(AL5:AL249)</f>
        <v>5172.24</v>
      </c>
      <c r="AM250" s="48" t="n">
        <f aca="false">SUM(AM5:AM249)</f>
        <v>9219.24</v>
      </c>
      <c r="AN250" s="48" t="n">
        <f aca="false">SUM(AN5:AN249)</f>
        <v>7231.57</v>
      </c>
      <c r="AO250" s="48" t="n">
        <f aca="false">SUM(AO5:AO249)</f>
        <v>6886.05</v>
      </c>
      <c r="AP250" s="48" t="n">
        <f aca="false">SUM(AP5:AP249)</f>
        <v>5804.1</v>
      </c>
      <c r="AQ250" s="48" t="n">
        <f aca="false">SUM(AQ5:AQ249)</f>
        <v>2935.23</v>
      </c>
      <c r="AR250" s="48" t="n">
        <f aca="false">SUM(AR5:AR249)</f>
        <v>7264.18</v>
      </c>
      <c r="AS250" s="48" t="n">
        <f aca="false">SUM(AS5:AS249)</f>
        <v>89349.13</v>
      </c>
      <c r="AT250" s="48" t="n">
        <f aca="false">SUM(AT5:AT249)</f>
        <v>32250.02</v>
      </c>
      <c r="AU250" s="48" t="n">
        <f aca="false">SUM(AU5:AU249)</f>
        <v>89448.5949</v>
      </c>
      <c r="AV250" s="48" t="n">
        <f aca="false">SUM(AV5:AV249)</f>
        <v>709498.673</v>
      </c>
      <c r="AW250" s="48" t="n">
        <f aca="false">SUM(AW5:AW249)</f>
        <v>7310.5777</v>
      </c>
      <c r="AX250" s="48" t="n">
        <f aca="false">SUM(AX5:AX249)</f>
        <v>117043.3185</v>
      </c>
      <c r="AY250" s="48" t="n">
        <f aca="false">SUM(AY5:AY249)</f>
        <v>352944.6055</v>
      </c>
      <c r="AZ250" s="48" t="n">
        <f aca="false">SUM(AZ5:AZ249)</f>
        <v>45577.7016</v>
      </c>
      <c r="BA250" s="1"/>
      <c r="BB250" s="1"/>
      <c r="BC250" s="1"/>
      <c r="BD250" s="1"/>
      <c r="BE250" s="1"/>
      <c r="BF250" s="1"/>
    </row>
    <row r="251" s="48" customFormat="true" ht="15" hidden="false" customHeight="true" outlineLevel="0" collapsed="false">
      <c r="A251" s="48" t="s">
        <v>31</v>
      </c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BA251" s="1"/>
      <c r="BB251" s="1"/>
      <c r="BC251" s="1"/>
      <c r="BD251" s="1"/>
      <c r="BE251" s="1"/>
      <c r="BF251" s="1"/>
    </row>
  </sheetData>
  <mergeCells count="25">
    <mergeCell ref="J1:U1"/>
    <mergeCell ref="A2:A4"/>
    <mergeCell ref="B2:B4"/>
    <mergeCell ref="H2:H4"/>
    <mergeCell ref="V2:V4"/>
    <mergeCell ref="W2:W4"/>
    <mergeCell ref="X2:X4"/>
    <mergeCell ref="C3:C4"/>
    <mergeCell ref="D3:D4"/>
    <mergeCell ref="E3:E4"/>
    <mergeCell ref="F3:F4"/>
    <mergeCell ref="G3:G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AI3:AI4"/>
  </mergeCells>
  <conditionalFormatting sqref="W5:X249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" right="0" top="0.39375" bottom="0.8" header="0.511811023622047" footer="0.39375"/>
  <pageSetup paperSize="9" scale="100" fitToWidth="0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&amp;L&amp;"Arial,Normal"&amp;8 Data da Emissão: 
&amp;"Calibri,Regular"16/09/2024 &amp;C&amp;"Arial,Normal"&amp;8 Página: 
&amp;"Calibri,Regular"&amp;P de &amp;N 
Netview Informática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3764C60684DF4CB311E8C6DB824A31" ma:contentTypeVersion="12" ma:contentTypeDescription="Create a new document." ma:contentTypeScope="" ma:versionID="622a8137851caf67f943ae43813a7cb3">
  <xsd:schema xmlns:xsd="http://www.w3.org/2001/XMLSchema" xmlns:xs="http://www.w3.org/2001/XMLSchema" xmlns:p="http://schemas.microsoft.com/office/2006/metadata/properties" xmlns:ns2="6ddf8778-9569-40ed-9bf8-0f223cbd7521" xmlns:ns3="46728323-6609-471b-b746-bd6c0af0902a" targetNamespace="http://schemas.microsoft.com/office/2006/metadata/properties" ma:root="true" ma:fieldsID="d74d04fb182727bc947f0574ca0cadd6" ns2:_="" ns3:_="">
    <xsd:import namespace="6ddf8778-9569-40ed-9bf8-0f223cbd7521"/>
    <xsd:import namespace="46728323-6609-471b-b746-bd6c0af090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f8778-9569-40ed-9bf8-0f223cbd75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d40e457-b01f-4f77-b199-af835d4d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28323-6609-471b-b746-bd6c0af090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e089f55-b17c-47b5-9653-d11a9ad5d1cd}" ma:internalName="TaxCatchAll" ma:showField="CatchAllData" ma:web="46728323-6609-471b-b746-bd6c0af090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df8778-9569-40ed-9bf8-0f223cbd7521">
      <Terms xmlns="http://schemas.microsoft.com/office/infopath/2007/PartnerControls"/>
    </lcf76f155ced4ddcb4097134ff3c332f>
    <TaxCatchAll xmlns="46728323-6609-471b-b746-bd6c0af0902a" xsi:nil="true"/>
  </documentManagement>
</p:properties>
</file>

<file path=customXml/itemProps1.xml><?xml version="1.0" encoding="utf-8"?>
<ds:datastoreItem xmlns:ds="http://schemas.openxmlformats.org/officeDocument/2006/customXml" ds:itemID="{C14F68B4-9D64-4C50-BDB9-FC190B97BB7B}"/>
</file>

<file path=customXml/itemProps2.xml><?xml version="1.0" encoding="utf-8"?>
<ds:datastoreItem xmlns:ds="http://schemas.openxmlformats.org/officeDocument/2006/customXml" ds:itemID="{2CB6295A-3589-48F1-948F-179E4C7C3BF9}"/>
</file>

<file path=customXml/itemProps3.xml><?xml version="1.0" encoding="utf-8"?>
<ds:datastoreItem xmlns:ds="http://schemas.openxmlformats.org/officeDocument/2006/customXml" ds:itemID="{DCC898E8-4FC5-4A83-B96B-9F1DBDBE604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262</TotalTime>
  <Application>LibreOffice/25.8.4.1$Windows_X86_64 LibreOffice_project/6ab4ab096601e7cd763971a4dad5a6c7322a1a59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2025-02-24T11:54:02Z</dcterms:created>
  <dc:creator>Setor Técnico Sanear Locações</dc:creator>
  <dc:description/>
  <dc:language>pt-BR</dc:language>
  <cp:lastModifiedBy/>
  <dcterms:modified xsi:type="dcterms:W3CDTF">2026-03-22T20:25:02Z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0x010100493764C60684DF4CB311E8C6DB824A31</vt:lpwstr>
  </property>
  <property fmtid="{D5CDD505-2E9C-101B-9397-08002B2CF9AE}" pid="3" name="MediaServiceImageTags">
    <vt:lpwstr/>
  </property>
</Properties>
</file>